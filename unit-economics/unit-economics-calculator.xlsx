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Unit Economics" sheetId="2" state="visible" r:id="rId2"/>
    <sheet xmlns:r="http://schemas.openxmlformats.org/officeDocument/2006/relationships" name="Scale Projection" sheetId="3" state="visible" r:id="rId3"/>
    <sheet xmlns:r="http://schemas.openxmlformats.org/officeDocument/2006/relationships"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00"/>
    <numFmt numFmtId="166" formatCode="0.0%"/>
  </numFmts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57606A"/>
      <sz val="10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FF4CE"/>
      </patternFill>
    </fill>
    <fill>
      <patternFill patternType="solid">
        <fgColor rgb="0024292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3" fontId="0" fillId="2" borderId="1" pivotButton="0" quotePrefix="0" xfId="0"/>
    <xf numFmtId="165" fontId="0" fillId="2" borderId="1" pivotButton="0" quotePrefix="0" xfId="0"/>
    <xf numFmtId="165" fontId="0" fillId="3" borderId="1" pivotButton="0" quotePrefix="0" xfId="0"/>
    <xf numFmtId="166" fontId="0" fillId="3" borderId="1" pivotButton="0" quotePrefix="0" xfId="0"/>
    <xf numFmtId="164" fontId="0" fillId="3" borderId="1" pivotButton="0" quotePrefix="0" xfId="0"/>
    <xf numFmtId="2" fontId="0" fillId="2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5" borderId="1" pivotButton="0" quotePrefix="0" xfId="0"/>
    <xf numFmtId="0" fontId="0" fillId="3" borderId="1" pivotButton="0" quotePrefix="0" xfId="0"/>
    <xf numFmtId="2" fontId="0" fillId="0" borderId="1" applyAlignment="1" pivotButton="0" quotePrefix="0" xfId="0">
      <alignment horizontal="center"/>
    </xf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Unit Economics &amp; Cost-Curve Simulator</t>
        </is>
      </c>
    </row>
    <row r="3">
      <c r="B3" s="2" t="inlineStr">
        <is>
          <t>Companion to "Cost as a Non-Functional Requirement: The Frugal Architect" (Engineering Economics, Part 3)</t>
        </is>
      </c>
    </row>
    <row r="4">
      <c r="B4" t="inlineStr"/>
    </row>
    <row r="5">
      <c r="B5" s="3" t="inlineStr">
        <is>
          <t>What this answers</t>
        </is>
      </c>
    </row>
    <row r="6">
      <c r="B6" t="inlineStr">
        <is>
          <t>As your product scales, does cost per unit fall, hold, or rise against revenue per unit? That one</t>
        </is>
      </c>
    </row>
    <row r="7">
      <c r="B7" t="inlineStr">
        <is>
          <t>question decides whether growth makes you healthier or quietly kills you. This tool plots your cost</t>
        </is>
      </c>
    </row>
    <row r="8">
      <c r="B8" t="inlineStr">
        <is>
          <t>and revenue curves from today's volume out to 1000x and flags the volume where margin goes negative.</t>
        </is>
      </c>
    </row>
    <row r="9">
      <c r="B9" t="inlineStr"/>
    </row>
    <row r="10">
      <c r="B10" s="3" t="inlineStr">
        <is>
          <t>The three curves (Vogels' Law II: align cost to the business)</t>
        </is>
      </c>
    </row>
    <row r="11">
      <c r="B11" t="inlineStr">
        <is>
          <t>- Sublinear  (exponent &lt; 1): cost per unit FALLS as you scale. Caching, batching, amortized fixed cost.</t>
        </is>
      </c>
    </row>
    <row r="12">
      <c r="B12" t="inlineStr">
        <is>
          <t xml:space="preserve">    Growth helps you. This is the curve you want.</t>
        </is>
      </c>
    </row>
    <row r="13">
      <c r="B13" t="inlineStr">
        <is>
          <t>- Linear     (exponent = 1): cost per unit HOLDS. No scale economy. Big just means unprofitable bigger.</t>
        </is>
      </c>
    </row>
    <row r="14">
      <c r="B14" t="inlineStr">
        <is>
          <t>- Superlinear (exponent &gt; 1): cost per unit RISES. Coordination overhead, chatty services, data that</t>
        </is>
      </c>
    </row>
    <row r="15">
      <c r="B15" t="inlineStr">
        <is>
          <t xml:space="preserve">    gets pricier to query. Growth actively hurts; there's a wall ahead.</t>
        </is>
      </c>
    </row>
    <row r="16">
      <c r="B16" t="inlineStr"/>
    </row>
    <row r="17">
      <c r="B17" s="3" t="inlineStr">
        <is>
          <t>The three tabs</t>
        </is>
      </c>
    </row>
    <row r="18">
      <c r="B18" t="inlineStr">
        <is>
          <t>1. Unit Economics - today's snapshot: cost per unit, revenue per unit, gross margin. Confirm margin is</t>
        </is>
      </c>
    </row>
    <row r="19">
      <c r="B19" t="inlineStr">
        <is>
          <t xml:space="preserve">    positive before anything else.</t>
        </is>
      </c>
    </row>
    <row r="20">
      <c r="B20" t="inlineStr">
        <is>
          <t>2. Scale Projection - the 10x question, answered across 1x to 1000x. Pick a cost-scaling exponent and</t>
        </is>
      </c>
    </row>
    <row r="21">
      <c r="B21" t="inlineStr">
        <is>
          <t xml:space="preserve">    watch the margin curve. Finds the volume where you flip to negative margin, if you do.</t>
        </is>
      </c>
    </row>
    <row r="22">
      <c r="B22" t="inlineStr">
        <is>
          <t>3. Sensitivity - sweeps the cost-scaling exponent so you can see how much caching/batching (pushing the</t>
        </is>
      </c>
    </row>
    <row r="23">
      <c r="B23" t="inlineStr">
        <is>
          <t xml:space="preserve">    exponent below 1) is worth, and how fast a superlinear curve kills you.</t>
        </is>
      </c>
    </row>
    <row r="24">
      <c r="B24" t="inlineStr"/>
    </row>
    <row r="25">
      <c r="B25" s="3" t="inlineStr">
        <is>
          <t>How to use it</t>
        </is>
      </c>
    </row>
    <row r="26">
      <c r="B26" t="inlineStr">
        <is>
          <t>Edit only the shaded blue cells. Set today's infra spend, today's volume, your price per unit, and the</t>
        </is>
      </c>
    </row>
    <row r="27">
      <c r="B27" t="inlineStr">
        <is>
          <t>cost-scaling exponent that best matches your architecture (start at 1.0 = linear if unsure, then test).</t>
        </is>
      </c>
    </row>
    <row r="28">
      <c r="B28" t="inlineStr"/>
    </row>
    <row r="29">
      <c r="B29" s="3" t="inlineStr">
        <is>
          <t>The honest limits</t>
        </is>
      </c>
    </row>
    <row r="30">
      <c r="B30" t="inlineStr">
        <is>
          <t>- The cost-scaling exponent is an abstraction of real architecture. It's a thinking tool, not a</t>
        </is>
      </c>
    </row>
    <row r="31">
      <c r="B31" t="inlineStr">
        <is>
          <t xml:space="preserve">    measurement. Use the Sensitivity tab to bound it rather than trusting one value.</t>
        </is>
      </c>
    </row>
    <row r="32">
      <c r="B32" t="inlineStr">
        <is>
          <t>- This prices cost vs. revenue. It says nothing about whether anyone wants the product (pre-PMF, skip it).</t>
        </is>
      </c>
    </row>
    <row r="33">
      <c r="B33" t="inlineStr">
        <is>
          <t>- Defaults reproduce the article's document-processing example ($0.002 cost, $0.005 price, 60% margin).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20" customWidth="1" min="3" max="3"/>
    <col width="20" customWidth="1" min="4" max="4"/>
    <col width="50" customWidth="1" min="5" max="5"/>
  </cols>
  <sheetData>
    <row r="2">
      <c r="B2" s="1" t="inlineStr">
        <is>
          <t>Unit Economics (today's snapshot)</t>
        </is>
      </c>
    </row>
    <row r="3">
      <c r="B3" s="2" t="inlineStr">
        <is>
          <t>Edit the blue cells. Confirm gross margin is positive before you worry about scale.</t>
        </is>
      </c>
    </row>
    <row r="5">
      <c r="B5" s="3" t="inlineStr">
        <is>
          <t>INPUTS</t>
        </is>
      </c>
    </row>
    <row r="6">
      <c r="B6" s="3" t="inlineStr">
        <is>
          <t>Monthly infrastructure spend ($)</t>
        </is>
      </c>
      <c r="C6" s="4" t="n">
        <v>80000</v>
      </c>
      <c r="E6" s="2" t="inlineStr">
        <is>
          <t>Total relevant infra cost for this workload.</t>
        </is>
      </c>
    </row>
    <row r="7">
      <c r="B7" s="3" t="inlineStr">
        <is>
          <t>Units of value per month</t>
        </is>
      </c>
      <c r="C7" s="5" t="n">
        <v>40000000</v>
      </c>
      <c r="E7" s="2" t="inlineStr">
        <is>
          <t>Your chosen unit: documents, requests, transactions, inferences.</t>
        </is>
      </c>
    </row>
    <row r="8">
      <c r="B8" s="3" t="inlineStr">
        <is>
          <t>Price charged per unit ($)</t>
        </is>
      </c>
      <c r="C8" s="6" t="n">
        <v>0.005</v>
      </c>
      <c r="E8" s="2" t="inlineStr">
        <is>
          <t>Average revenue per unit.</t>
        </is>
      </c>
    </row>
    <row r="10">
      <c r="B10" s="3" t="inlineStr">
        <is>
          <t>RESULTS</t>
        </is>
      </c>
    </row>
    <row r="11">
      <c r="B11" s="3" t="inlineStr">
        <is>
          <t>Cost per unit ($)</t>
        </is>
      </c>
      <c r="C11" s="7">
        <f>$C$6/$C$7</f>
        <v/>
      </c>
      <c r="E11" s="2" t="inlineStr">
        <is>
          <t>Infra spend divided by units.</t>
        </is>
      </c>
    </row>
    <row r="12">
      <c r="B12" s="3" t="inlineStr">
        <is>
          <t>Revenue per unit ($)</t>
        </is>
      </c>
      <c r="C12" s="7">
        <f>$C$8</f>
        <v/>
      </c>
      <c r="E12" s="2" t="inlineStr">
        <is>
          <t>What you charge.</t>
        </is>
      </c>
    </row>
    <row r="13">
      <c r="B13" s="3" t="inlineStr">
        <is>
          <t>Gross margin per unit ($)</t>
        </is>
      </c>
      <c r="C13" s="7">
        <f>$C$8-$C$6/$C$7</f>
        <v/>
      </c>
      <c r="E13" s="2" t="inlineStr">
        <is>
          <t>Price minus cost per unit.</t>
        </is>
      </c>
    </row>
    <row r="14">
      <c r="B14" s="3" t="inlineStr">
        <is>
          <t>Gross margin (%)</t>
        </is>
      </c>
      <c r="C14" s="8">
        <f>($C$8-$C$6/$C$7)/$C$8</f>
        <v/>
      </c>
      <c r="E14" s="2" t="inlineStr">
        <is>
          <t>The headline number.</t>
        </is>
      </c>
    </row>
    <row r="15">
      <c r="B15" s="3" t="inlineStr">
        <is>
          <t>Monthly revenue ($)</t>
        </is>
      </c>
      <c r="C15" s="9">
        <f>$C$8*$C$7</f>
        <v/>
      </c>
      <c r="E15" s="2" t="inlineStr">
        <is>
          <t>Price times volume.</t>
        </is>
      </c>
    </row>
    <row r="16">
      <c r="B16" s="3" t="inlineStr">
        <is>
          <t>Monthly gross profit ($)</t>
        </is>
      </c>
      <c r="C16" s="9">
        <f>$C$8*$C$7-$C$6</f>
        <v/>
      </c>
      <c r="E16" s="2" t="inlineStr">
        <is>
          <t>Revenue minus infra spend.</t>
        </is>
      </c>
    </row>
    <row r="18">
      <c r="B18" s="3" t="inlineStr">
        <is>
          <t>Health check</t>
        </is>
      </c>
      <c r="C18" s="2">
        <f>IF($C$8&gt;$C$6/$C$7,"Positive margin. Now go check the Scale Projection tab.","NEGATIVE margin: you lose money on every unit today. Fix price or cost before scaling.")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1" t="inlineStr">
        <is>
          <t>Scale Projection: the 10x question</t>
        </is>
      </c>
    </row>
    <row r="3">
      <c r="B3" s="2" t="inlineStr">
        <is>
          <t>Pick a cost-scaling exponent and watch cost per unit and margin across 1x to 1000x.</t>
        </is>
      </c>
    </row>
    <row r="5">
      <c r="B5" s="3" t="inlineStr">
        <is>
          <t>INPUT</t>
        </is>
      </c>
    </row>
    <row r="6">
      <c r="B6" s="3" t="inlineStr">
        <is>
          <t>Cost-scaling exponent (0.7=sublinear, 1.0=linear, 1.2=superlinear)</t>
        </is>
      </c>
      <c r="C6" s="10" t="n">
        <v>0.85</v>
      </c>
      <c r="E6" s="2" t="inlineStr">
        <is>
          <t>How cost scales with volume. &lt;1 cheaper per unit as you grow; &gt;1 pricier.</t>
        </is>
      </c>
    </row>
    <row r="9">
      <c r="B9" s="11" t="n"/>
      <c r="C9" s="11" t="n"/>
      <c r="D9" s="11" t="n"/>
      <c r="E9" s="11" t="n"/>
      <c r="F9" s="11" t="n"/>
      <c r="G9" s="11" t="n"/>
    </row>
    <row r="10">
      <c r="B10" s="12" t="inlineStr">
        <is>
          <t>1x</t>
        </is>
      </c>
      <c r="C10" s="13">
        <f>'Unit Economics'!$C$7*1</f>
        <v/>
      </c>
      <c r="D10" s="14">
        <f>'Unit Economics'!$C$6*1^$C$6</f>
        <v/>
      </c>
      <c r="E10" s="15">
        <f>D10/C10</f>
        <v/>
      </c>
      <c r="F10" s="16">
        <f>('Unit Economics'!$C$8-E10)/'Unit Economics'!$C$8</f>
        <v/>
      </c>
      <c r="G10" s="14">
        <f>'Unit Economics'!$C$8*C10-D10</f>
        <v/>
      </c>
    </row>
    <row r="11">
      <c r="B11" s="12" t="inlineStr">
        <is>
          <t>2x</t>
        </is>
      </c>
      <c r="C11" s="13">
        <f>'Unit Economics'!$C$7*2</f>
        <v/>
      </c>
      <c r="D11" s="14">
        <f>'Unit Economics'!$C$6*2^$C$6</f>
        <v/>
      </c>
      <c r="E11" s="15">
        <f>D11/C11</f>
        <v/>
      </c>
      <c r="F11" s="16">
        <f>('Unit Economics'!$C$8-E11)/'Unit Economics'!$C$8</f>
        <v/>
      </c>
      <c r="G11" s="14">
        <f>'Unit Economics'!$C$8*C11-D11</f>
        <v/>
      </c>
    </row>
    <row r="12">
      <c r="B12" s="12" t="inlineStr">
        <is>
          <t>5x</t>
        </is>
      </c>
      <c r="C12" s="13">
        <f>'Unit Economics'!$C$7*5</f>
        <v/>
      </c>
      <c r="D12" s="14">
        <f>'Unit Economics'!$C$6*5^$C$6</f>
        <v/>
      </c>
      <c r="E12" s="15">
        <f>D12/C12</f>
        <v/>
      </c>
      <c r="F12" s="16">
        <f>('Unit Economics'!$C$8-E12)/'Unit Economics'!$C$8</f>
        <v/>
      </c>
      <c r="G12" s="14">
        <f>'Unit Economics'!$C$8*C12-D12</f>
        <v/>
      </c>
    </row>
    <row r="13">
      <c r="B13" s="12" t="inlineStr">
        <is>
          <t>10x</t>
        </is>
      </c>
      <c r="C13" s="13">
        <f>'Unit Economics'!$C$7*10</f>
        <v/>
      </c>
      <c r="D13" s="14">
        <f>'Unit Economics'!$C$6*10^$C$6</f>
        <v/>
      </c>
      <c r="E13" s="15">
        <f>D13/C13</f>
        <v/>
      </c>
      <c r="F13" s="16">
        <f>('Unit Economics'!$C$8-E13)/'Unit Economics'!$C$8</f>
        <v/>
      </c>
      <c r="G13" s="14">
        <f>'Unit Economics'!$C$8*C13-D13</f>
        <v/>
      </c>
    </row>
    <row r="14">
      <c r="B14" s="12" t="inlineStr">
        <is>
          <t>25x</t>
        </is>
      </c>
      <c r="C14" s="13">
        <f>'Unit Economics'!$C$7*25</f>
        <v/>
      </c>
      <c r="D14" s="14">
        <f>'Unit Economics'!$C$6*25^$C$6</f>
        <v/>
      </c>
      <c r="E14" s="15">
        <f>D14/C14</f>
        <v/>
      </c>
      <c r="F14" s="16">
        <f>('Unit Economics'!$C$8-E14)/'Unit Economics'!$C$8</f>
        <v/>
      </c>
      <c r="G14" s="14">
        <f>'Unit Economics'!$C$8*C14-D14</f>
        <v/>
      </c>
    </row>
    <row r="15">
      <c r="B15" s="12" t="inlineStr">
        <is>
          <t>50x</t>
        </is>
      </c>
      <c r="C15" s="13">
        <f>'Unit Economics'!$C$7*50</f>
        <v/>
      </c>
      <c r="D15" s="14">
        <f>'Unit Economics'!$C$6*50^$C$6</f>
        <v/>
      </c>
      <c r="E15" s="15">
        <f>D15/C15</f>
        <v/>
      </c>
      <c r="F15" s="16">
        <f>('Unit Economics'!$C$8-E15)/'Unit Economics'!$C$8</f>
        <v/>
      </c>
      <c r="G15" s="14">
        <f>'Unit Economics'!$C$8*C15-D15</f>
        <v/>
      </c>
    </row>
    <row r="16">
      <c r="B16" s="12" t="inlineStr">
        <is>
          <t>100x</t>
        </is>
      </c>
      <c r="C16" s="13">
        <f>'Unit Economics'!$C$7*100</f>
        <v/>
      </c>
      <c r="D16" s="14">
        <f>'Unit Economics'!$C$6*100^$C$6</f>
        <v/>
      </c>
      <c r="E16" s="15">
        <f>D16/C16</f>
        <v/>
      </c>
      <c r="F16" s="16">
        <f>('Unit Economics'!$C$8-E16)/'Unit Economics'!$C$8</f>
        <v/>
      </c>
      <c r="G16" s="14">
        <f>'Unit Economics'!$C$8*C16-D16</f>
        <v/>
      </c>
    </row>
    <row r="17">
      <c r="B17" s="12" t="inlineStr">
        <is>
          <t>250x</t>
        </is>
      </c>
      <c r="C17" s="13">
        <f>'Unit Economics'!$C$7*250</f>
        <v/>
      </c>
      <c r="D17" s="14">
        <f>'Unit Economics'!$C$6*250^$C$6</f>
        <v/>
      </c>
      <c r="E17" s="15">
        <f>D17/C17</f>
        <v/>
      </c>
      <c r="F17" s="16">
        <f>('Unit Economics'!$C$8-E17)/'Unit Economics'!$C$8</f>
        <v/>
      </c>
      <c r="G17" s="14">
        <f>'Unit Economics'!$C$8*C17-D17</f>
        <v/>
      </c>
    </row>
    <row r="18">
      <c r="B18" s="12" t="inlineStr">
        <is>
          <t>500x</t>
        </is>
      </c>
      <c r="C18" s="13">
        <f>'Unit Economics'!$C$7*500</f>
        <v/>
      </c>
      <c r="D18" s="14">
        <f>'Unit Economics'!$C$6*500^$C$6</f>
        <v/>
      </c>
      <c r="E18" s="15">
        <f>D18/C18</f>
        <v/>
      </c>
      <c r="F18" s="16">
        <f>('Unit Economics'!$C$8-E18)/'Unit Economics'!$C$8</f>
        <v/>
      </c>
      <c r="G18" s="14">
        <f>'Unit Economics'!$C$8*C18-D18</f>
        <v/>
      </c>
    </row>
    <row r="19">
      <c r="B19" s="12" t="inlineStr">
        <is>
          <t>1000x</t>
        </is>
      </c>
      <c r="C19" s="13">
        <f>'Unit Economics'!$C$7*1000</f>
        <v/>
      </c>
      <c r="D19" s="14">
        <f>'Unit Economics'!$C$6*1000^$C$6</f>
        <v/>
      </c>
      <c r="E19" s="15">
        <f>D19/C19</f>
        <v/>
      </c>
      <c r="F19" s="16">
        <f>('Unit Economics'!$C$8-E19)/'Unit Economics'!$C$8</f>
        <v/>
      </c>
      <c r="G19" s="14">
        <f>'Unit Economics'!$C$8*C19-D19</f>
        <v/>
      </c>
    </row>
    <row r="21">
      <c r="B21" s="3" t="inlineStr">
        <is>
          <t>Curve type</t>
        </is>
      </c>
      <c r="C21" s="17">
        <f>IF($C$6&lt;0.99,"Sublinear - growth helps you",IF($C$6&gt;1.01,"Superlinear - growth hurts you","Linear - no scale economy"))</f>
        <v/>
      </c>
    </row>
    <row r="22">
      <c r="B22" s="3" t="inlineStr">
        <is>
          <t>Margin at 1000x</t>
        </is>
      </c>
      <c r="C22" s="8">
        <f>F19</f>
        <v/>
      </c>
    </row>
    <row r="23">
      <c r="B23" s="3" t="inlineStr">
        <is>
          <t>Verdict</t>
        </is>
      </c>
      <c r="C23" s="2">
        <f>IF(F19&lt;0,"Margin goes NEGATIVE before 1000x. Redesign the cost curve now, while it is cheap.","Margin stays positive through 1000x at this exponent.")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" t="inlineStr">
        <is>
          <t>Sensitivity: cost-scaling exponent</t>
        </is>
      </c>
    </row>
    <row r="3">
      <c r="B3" s="2" t="inlineStr">
        <is>
          <t>The exponent is the assumption you are least sure of. Here is the margin at each scale for a range of exponents.</t>
        </is>
      </c>
    </row>
    <row r="5">
      <c r="B5" s="11" t="inlineStr">
        <is>
          <t>Exponent \ Scale</t>
        </is>
      </c>
      <c r="C5" s="11" t="inlineStr">
        <is>
          <t>1x margin</t>
        </is>
      </c>
      <c r="D5" s="11" t="inlineStr">
        <is>
          <t>10x margin</t>
        </is>
      </c>
      <c r="E5" s="11" t="inlineStr">
        <is>
          <t>100x margin</t>
        </is>
      </c>
      <c r="F5" s="11" t="inlineStr">
        <is>
          <t>1000x margin</t>
        </is>
      </c>
    </row>
    <row r="6">
      <c r="B6" s="18" t="n">
        <v>0.7</v>
      </c>
      <c r="C6" s="19">
        <f>('Unit Economics'!$C$8-('Unit Economics'!$C$6*1^B6)/('Unit Economics'!$C$7*1))/'Unit Economics'!$C$8</f>
        <v/>
      </c>
      <c r="D6" s="19">
        <f>('Unit Economics'!$C$8-('Unit Economics'!$C$6*10^B6)/('Unit Economics'!$C$7*10))/'Unit Economics'!$C$8</f>
        <v/>
      </c>
      <c r="E6" s="19">
        <f>('Unit Economics'!$C$8-('Unit Economics'!$C$6*100^B6)/('Unit Economics'!$C$7*100))/'Unit Economics'!$C$8</f>
        <v/>
      </c>
      <c r="F6" s="19">
        <f>('Unit Economics'!$C$8-('Unit Economics'!$C$6*1000^B6)/('Unit Economics'!$C$7*1000))/'Unit Economics'!$C$8</f>
        <v/>
      </c>
    </row>
    <row r="7">
      <c r="B7" s="18" t="n">
        <v>0.8</v>
      </c>
      <c r="C7" s="19">
        <f>('Unit Economics'!$C$8-('Unit Economics'!$C$6*1^B7)/('Unit Economics'!$C$7*1))/'Unit Economics'!$C$8</f>
        <v/>
      </c>
      <c r="D7" s="19">
        <f>('Unit Economics'!$C$8-('Unit Economics'!$C$6*10^B7)/('Unit Economics'!$C$7*10))/'Unit Economics'!$C$8</f>
        <v/>
      </c>
      <c r="E7" s="19">
        <f>('Unit Economics'!$C$8-('Unit Economics'!$C$6*100^B7)/('Unit Economics'!$C$7*100))/'Unit Economics'!$C$8</f>
        <v/>
      </c>
      <c r="F7" s="19">
        <f>('Unit Economics'!$C$8-('Unit Economics'!$C$6*1000^B7)/('Unit Economics'!$C$7*1000))/'Unit Economics'!$C$8</f>
        <v/>
      </c>
    </row>
    <row r="8">
      <c r="B8" s="18" t="n">
        <v>0.9</v>
      </c>
      <c r="C8" s="19">
        <f>('Unit Economics'!$C$8-('Unit Economics'!$C$6*1^B8)/('Unit Economics'!$C$7*1))/'Unit Economics'!$C$8</f>
        <v/>
      </c>
      <c r="D8" s="19">
        <f>('Unit Economics'!$C$8-('Unit Economics'!$C$6*10^B8)/('Unit Economics'!$C$7*10))/'Unit Economics'!$C$8</f>
        <v/>
      </c>
      <c r="E8" s="19">
        <f>('Unit Economics'!$C$8-('Unit Economics'!$C$6*100^B8)/('Unit Economics'!$C$7*100))/'Unit Economics'!$C$8</f>
        <v/>
      </c>
      <c r="F8" s="19">
        <f>('Unit Economics'!$C$8-('Unit Economics'!$C$6*1000^B8)/('Unit Economics'!$C$7*1000))/'Unit Economics'!$C$8</f>
        <v/>
      </c>
    </row>
    <row r="9">
      <c r="B9" s="18" t="n">
        <v>1</v>
      </c>
      <c r="C9" s="19">
        <f>('Unit Economics'!$C$8-('Unit Economics'!$C$6*1^B9)/('Unit Economics'!$C$7*1))/'Unit Economics'!$C$8</f>
        <v/>
      </c>
      <c r="D9" s="19">
        <f>('Unit Economics'!$C$8-('Unit Economics'!$C$6*10^B9)/('Unit Economics'!$C$7*10))/'Unit Economics'!$C$8</f>
        <v/>
      </c>
      <c r="E9" s="19">
        <f>('Unit Economics'!$C$8-('Unit Economics'!$C$6*100^B9)/('Unit Economics'!$C$7*100))/'Unit Economics'!$C$8</f>
        <v/>
      </c>
      <c r="F9" s="19">
        <f>('Unit Economics'!$C$8-('Unit Economics'!$C$6*1000^B9)/('Unit Economics'!$C$7*1000))/'Unit Economics'!$C$8</f>
        <v/>
      </c>
    </row>
    <row r="10">
      <c r="B10" s="18" t="n">
        <v>1.1</v>
      </c>
      <c r="C10" s="19">
        <f>('Unit Economics'!$C$8-('Unit Economics'!$C$6*1^B10)/('Unit Economics'!$C$7*1))/'Unit Economics'!$C$8</f>
        <v/>
      </c>
      <c r="D10" s="19">
        <f>('Unit Economics'!$C$8-('Unit Economics'!$C$6*10^B10)/('Unit Economics'!$C$7*10))/'Unit Economics'!$C$8</f>
        <v/>
      </c>
      <c r="E10" s="19">
        <f>('Unit Economics'!$C$8-('Unit Economics'!$C$6*100^B10)/('Unit Economics'!$C$7*100))/'Unit Economics'!$C$8</f>
        <v/>
      </c>
      <c r="F10" s="19">
        <f>('Unit Economics'!$C$8-('Unit Economics'!$C$6*1000^B10)/('Unit Economics'!$C$7*1000))/'Unit Economics'!$C$8</f>
        <v/>
      </c>
    </row>
    <row r="11">
      <c r="B11" s="18" t="n">
        <v>1.2</v>
      </c>
      <c r="C11" s="19">
        <f>('Unit Economics'!$C$8-('Unit Economics'!$C$6*1^B11)/('Unit Economics'!$C$7*1))/'Unit Economics'!$C$8</f>
        <v/>
      </c>
      <c r="D11" s="19">
        <f>('Unit Economics'!$C$8-('Unit Economics'!$C$6*10^B11)/('Unit Economics'!$C$7*10))/'Unit Economics'!$C$8</f>
        <v/>
      </c>
      <c r="E11" s="19">
        <f>('Unit Economics'!$C$8-('Unit Economics'!$C$6*100^B11)/('Unit Economics'!$C$7*100))/'Unit Economics'!$C$8</f>
        <v/>
      </c>
      <c r="F11" s="19">
        <f>('Unit Economics'!$C$8-('Unit Economics'!$C$6*1000^B11)/('Unit Economics'!$C$7*1000))/'Unit Economics'!$C$8</f>
        <v/>
      </c>
    </row>
    <row r="13">
      <c r="B13" s="2" t="inlineStr">
        <is>
          <t>Read down a column: as the exponent rises past 1.0, scale turns from reward into margin collapse.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2026-10-12T16:18:41Z</dcterms:created>
  <dcterms:modified xmlns:dcterms="http://purl.org/dc/terms/" xmlns:xsi="http://www.w3.org/2001/XMLSchema-instance" xsi:type="dcterms:W3CDTF">2026-10-12T16:18:41Z</dcterms:modified>
</cp:coreProperties>
</file>