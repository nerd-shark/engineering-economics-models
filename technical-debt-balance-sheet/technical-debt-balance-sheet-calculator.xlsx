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bt Balance Sheet" sheetId="2" state="visible" r:id="rId2"/>
    <sheet xmlns:r="http://schemas.openxmlformats.org/officeDocument/2006/relationships" name="Debt Ceiling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#,##0.0"/>
    <numFmt numFmtId="166" formatCode="#,##0&quot; hrs&quot;"/>
    <numFmt numFmtId="167" formatCode="0.00&quot;x&quot;"/>
    <numFmt numFmtId="168" formatCode="0.0%"/>
    <numFmt numFmtId="169" formatCode="0.0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57606A"/>
      <sz val="10"/>
    </font>
    <font>
      <b val="1"/>
    </font>
    <font>
      <b val="1"/>
      <sz val="13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DE2E1"/>
      </patternFill>
    </fill>
    <fill>
      <patternFill patternType="solid">
        <fgColor rgb="00FFF4CE"/>
      </patternFill>
    </fill>
    <fill>
      <patternFill patternType="solid">
        <fgColor rgb="0024292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3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166" fontId="0" fillId="3" borderId="1" pivotButton="0" quotePrefix="0" xfId="0"/>
    <xf numFmtId="164" fontId="0" fillId="0" borderId="1" pivotButton="0" quotePrefix="0" xfId="0"/>
    <xf numFmtId="164" fontId="4" fillId="4" borderId="1" pivotButton="0" quotePrefix="0" xfId="0"/>
    <xf numFmtId="168" fontId="4" fillId="4" borderId="1" pivotButton="0" quotePrefix="0" xfId="0"/>
    <xf numFmtId="2" fontId="4" fillId="4" borderId="1" pivotButton="0" quotePrefix="0" xfId="0"/>
    <xf numFmtId="169" fontId="0" fillId="0" borderId="1" pivotButton="0" quotePrefix="0" xfId="0"/>
    <xf numFmtId="166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8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2" customWidth="1" min="2" max="2"/>
  </cols>
  <sheetData>
    <row r="2">
      <c r="B2" s="1" t="inlineStr">
        <is>
          <t>Technical Debt Balance Sheet &amp; Interest Calculator</t>
        </is>
      </c>
    </row>
    <row r="3">
      <c r="B3" s="2" t="inlineStr">
        <is>
          <t>Companion to "Technical Debt Is a Balance Sheet Liability, Not a Metaphor" (Engineering Economics, Part 7)</t>
        </is>
      </c>
    </row>
    <row r="4">
      <c r="B4" t="inlineStr"/>
    </row>
    <row r="5">
      <c r="B5" s="3" t="inlineStr">
        <is>
          <t>What this is</t>
        </is>
      </c>
    </row>
    <row r="6">
      <c r="B6" t="inlineStr">
        <is>
          <t>A technical debt balance sheet puts a loan on a ledger: PRINCIPAL (what it costs to clear the debt),</t>
        </is>
      </c>
    </row>
    <row r="7">
      <c r="B7" t="inlineStr">
        <is>
          <t>INTEREST (what you pay every year you carry it), and a PAYBACK period (how fast remediation returns the</t>
        </is>
      </c>
    </row>
    <row r="8">
      <c r="B8" t="inlineStr">
        <is>
          <t>spend). This tool turns "the codebase is slowing us down" into those three numbers, the ones finance funds.</t>
        </is>
      </c>
    </row>
    <row r="9">
      <c r="B9" t="inlineStr"/>
    </row>
    <row r="10">
      <c r="B10" t="inlineStr">
        <is>
          <t>Blue cells are the only inputs. Everything else is a live formula, so change a blue cell and every result</t>
        </is>
      </c>
    </row>
    <row r="11">
      <c r="B11" t="inlineStr">
        <is>
          <t>updates. The defaults reproduce the article's illustrative worked example.</t>
        </is>
      </c>
    </row>
    <row r="12">
      <c r="B12" t="inlineStr"/>
    </row>
    <row r="13">
      <c r="B13" s="3" t="inlineStr">
        <is>
          <t>The four tabs</t>
        </is>
      </c>
    </row>
    <row r="14">
      <c r="B14" t="inlineStr">
        <is>
          <t>1. Debt Balance Sheet - the core model. Edit the blue cells; read annual interest, principal, the implied</t>
        </is>
      </c>
    </row>
    <row r="15">
      <c r="B15" t="inlineStr">
        <is>
          <t xml:space="preserve">    interest rate, and payback. Start here.</t>
        </is>
      </c>
    </row>
    <row r="16">
      <c r="B16" t="inlineStr">
        <is>
          <t>2. Debt Ceiling - what fraction of your team's total capacity the debt's interest already eats, and how that</t>
        </is>
      </c>
    </row>
    <row r="17">
      <c r="B17" t="inlineStr">
        <is>
          <t xml:space="preserve">    fraction climbs as the velocity loss grows, toward the point where feature velocity goes to zero.</t>
        </is>
      </c>
    </row>
    <row r="18">
      <c r="B18" t="inlineStr">
        <is>
          <t>3. Sensitivity - sweeps the hours-lost-per-sprint assumption (the one you are least sure of) and reports</t>
        </is>
      </c>
    </row>
    <row r="19">
      <c r="B19" t="inlineStr">
        <is>
          <t xml:space="preserve">    annual interest, implied rate, and payback at each step.</t>
        </is>
      </c>
    </row>
    <row r="20">
      <c r="B20" t="inlineStr"/>
    </row>
    <row r="21">
      <c r="B21" s="3" t="inlineStr">
        <is>
          <t>How to use it</t>
        </is>
      </c>
    </row>
    <row r="22">
      <c r="B22" t="inlineStr">
        <is>
          <t>Open the Debt Balance Sheet tab. Set the blue inputs for one specific piece of debt: the loaded engineer</t>
        </is>
      </c>
    </row>
    <row r="23">
      <c r="B23" t="inlineStr">
        <is>
          <t>rate, how many engineers it slows, the hours each loses per sprint routing around it, your sprint cadence,</t>
        </is>
      </c>
    </row>
    <row r="24">
      <c r="B24" t="inlineStr">
        <is>
          <t>any incident cost it drives, the remediation hours, and a complexity multiplier. Read the four results.</t>
        </is>
      </c>
    </row>
    <row r="25">
      <c r="B25" t="inlineStr"/>
    </row>
    <row r="26">
      <c r="B26" s="3" t="inlineStr">
        <is>
          <t>The honest limits</t>
        </is>
      </c>
    </row>
    <row r="27">
      <c r="B27" t="inlineStr">
        <is>
          <t>- This prices ESTIMATED cost, not certainty. The interest figure rides on your read of how much capacity the</t>
        </is>
      </c>
    </row>
    <row r="28">
      <c r="B28" t="inlineStr">
        <is>
          <t xml:space="preserve">    debt eats, which is a judgment call wearing a dollar sign. Present it as a range and show your inputs.</t>
        </is>
      </c>
    </row>
    <row r="29">
      <c r="B29" t="inlineStr">
        <is>
          <t>- Not all debt has measurable interest. Debt in a corner nobody touches costs nothing until you touch it.</t>
        </is>
      </c>
    </row>
    <row r="30">
      <c r="B30" t="inlineStr">
        <is>
          <t xml:space="preserve">    Aim this at the debt you are actively paying interest on, not every imperfection in the codebase.</t>
        </is>
      </c>
    </row>
    <row r="31">
      <c r="B31" t="inlineStr">
        <is>
          <t>- A financial frame can make a soft estimate look like hard fact. "$1.2M in debt" gets quoted as gospel six</t>
        </is>
      </c>
    </row>
    <row r="32">
      <c r="B32" t="inlineStr">
        <is>
          <t xml:space="preserve">    months later. Keep the ranges visible and the word "estimate" attached.</t>
        </is>
      </c>
    </row>
    <row r="33">
      <c r="B33" t="inlineStr">
        <is>
          <t>- Defaults are illustrative, from the article (~$187K/yr interest on one module, ~$300K to remediate).</t>
        </is>
      </c>
    </row>
    <row r="34">
      <c r="B34" t="inlineStr">
        <is>
          <t xml:space="preserve">    Replace every blue cell with your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6" customWidth="1" min="3" max="3"/>
    <col width="72" customWidth="1" min="4" max="4"/>
  </cols>
  <sheetData>
    <row r="2">
      <c r="B2" s="1" t="inlineStr">
        <is>
          <t>Debt Balance Sheet</t>
        </is>
      </c>
    </row>
    <row r="3">
      <c r="B3" s="2" t="inlineStr">
        <is>
          <t>Edit the blue cells. Principal, interest, implied rate, and payback are computed at the bottom.</t>
        </is>
      </c>
    </row>
    <row r="5">
      <c r="B5" s="3" t="inlineStr">
        <is>
          <t>INPUTS (edit the blue cells)</t>
        </is>
      </c>
    </row>
    <row r="6">
      <c r="B6" s="3" t="inlineStr">
        <is>
          <t>Loaded engineer hourly cost ($)</t>
        </is>
      </c>
      <c r="C6" s="4" t="n">
        <v>150</v>
      </c>
      <c r="D6" s="2" t="inlineStr">
        <is>
          <t>Salary + benefits + payroll tax + equipment + overhead, per hour. Same definition across the whole model series.</t>
        </is>
      </c>
    </row>
    <row r="7">
      <c r="B7" s="3" t="inlineStr">
        <is>
          <t>Engineers affected by this debt</t>
        </is>
      </c>
      <c r="C7" s="5" t="n">
        <v>6</v>
      </c>
      <c r="D7" s="2" t="inlineStr">
        <is>
          <t>How many engineers routinely route around this specific debt.</t>
        </is>
      </c>
    </row>
    <row r="8">
      <c r="B8" s="3" t="inlineStr">
        <is>
          <t>Hours per engineer per sprint lost to this debt</t>
        </is>
      </c>
      <c r="C8" s="6" t="n">
        <v>8</v>
      </c>
      <c r="D8" s="2" t="inlineStr">
        <is>
          <t>Time each affected engineer burns working around the debt, per sprint. Default: 4 hrs/week over a 2-week sprint.</t>
        </is>
      </c>
    </row>
    <row r="9">
      <c r="B9" s="3" t="inlineStr">
        <is>
          <t>Sprints per year</t>
        </is>
      </c>
      <c r="C9" s="5" t="n">
        <v>26</v>
      </c>
      <c r="D9" s="2" t="inlineStr">
        <is>
          <t>Your sprint cadence. 26 two-week sprints = a full year.</t>
        </is>
      </c>
    </row>
    <row r="10">
      <c r="B10" s="3" t="inlineStr">
        <is>
          <t>Incident-frequency delta per year (extra incidents)</t>
        </is>
      </c>
      <c r="C10" s="6" t="n">
        <v>0</v>
      </c>
      <c r="D10" s="2" t="inlineStr">
        <is>
          <t>Extra production incidents per year you attribute to this debt. Default 0 keeps the headline to the velocity cost.</t>
        </is>
      </c>
    </row>
    <row r="11">
      <c r="B11" s="3" t="inlineStr">
        <is>
          <t>Loaded cost per incident ($)</t>
        </is>
      </c>
      <c r="C11" s="4" t="n">
        <v>0</v>
      </c>
      <c r="D11" s="2" t="inlineStr">
        <is>
          <t>Fully-loaded cost of one such incident: responders woken, hours burned, follow-up. 0 if you are not counting incidents yet.</t>
        </is>
      </c>
    </row>
    <row r="12">
      <c r="B12" s="3" t="inlineStr">
        <is>
          <t>Estimated remediation hours (base)</t>
        </is>
      </c>
      <c r="C12" s="7" t="n">
        <v>1600</v>
      </c>
      <c r="D12" s="2" t="inlineStr">
        <is>
          <t>Engineering hours to clear the debt, before the complexity multiplier. Your naive, honest first guess.</t>
        </is>
      </c>
    </row>
    <row r="13">
      <c r="B13" s="3" t="inlineStr">
        <is>
          <t>Complexity / risk multiplier (x)</t>
        </is>
      </c>
      <c r="C13" s="8" t="n">
        <v>1.25</v>
      </c>
      <c r="D13" s="2" t="inlineStr">
        <is>
          <t>Scales remediation for integration, testing, and unknowns. 1.2x for well-isolated, 2x+ for deeply tangled.</t>
        </is>
      </c>
    </row>
    <row r="15">
      <c r="B15" s="2" t="inlineStr">
        <is>
          <t>These defaults are illustrative, from the article. Replace every blue cell with your own numbers.</t>
        </is>
      </c>
    </row>
    <row r="17">
      <c r="B17" s="3" t="inlineStr">
        <is>
          <t>HOURS AND CAPACITY</t>
        </is>
      </c>
    </row>
    <row r="18">
      <c r="B18" s="3" t="inlineStr">
        <is>
          <t>Hours lost per year to this debt (interest, in hours)</t>
        </is>
      </c>
      <c r="C18" s="9">
        <f>$C$7*$C$8*$C$9</f>
        <v/>
      </c>
      <c r="D18" s="2" t="inlineStr">
        <is>
          <t>Engineers x hours per sprint x sprints per year. The debt's interest expressed as time.</t>
        </is>
      </c>
    </row>
    <row r="19">
      <c r="B19" s="3" t="inlineStr">
        <is>
          <t>Annual interest from lost time ($)</t>
        </is>
      </c>
      <c r="C19" s="10">
        <f>$C$18*$C$6</f>
        <v/>
      </c>
      <c r="D19" s="2" t="inlineStr">
        <is>
          <t>Hours lost per year x loaded hourly rate.</t>
        </is>
      </c>
    </row>
    <row r="20">
      <c r="B20" s="3" t="inlineStr">
        <is>
          <t>Annual interest from incidents ($)</t>
        </is>
      </c>
      <c r="C20" s="10">
        <f>$C$10*$C$11</f>
        <v/>
      </c>
      <c r="D20" s="2" t="inlineStr">
        <is>
          <t>Extra incidents per year x loaded cost per incident.</t>
        </is>
      </c>
    </row>
    <row r="22">
      <c r="B22" s="1" t="inlineStr">
        <is>
          <t>THE BALANCE SHEET</t>
        </is>
      </c>
    </row>
    <row r="23">
      <c r="B23" s="3" t="inlineStr">
        <is>
          <t>Annual interest (total $/yr)</t>
        </is>
      </c>
      <c r="C23" s="11">
        <f>$C$19+$C$20</f>
        <v/>
      </c>
      <c r="D23" s="2" t="inlineStr">
        <is>
          <t>What you pay every year you carry this debt: lost time + incident cost. Paid forever until fixed.</t>
        </is>
      </c>
    </row>
    <row r="24">
      <c r="B24" s="3" t="inlineStr">
        <is>
          <t>Principal to remediate ($)</t>
        </is>
      </c>
      <c r="C24" s="11">
        <f>$C$12*$C$6*$C$13</f>
        <v/>
      </c>
      <c r="D24" s="2" t="inlineStr">
        <is>
          <t>Remediation hours x loaded rate x complexity multiplier. What it costs to clear the debt once.</t>
        </is>
      </c>
    </row>
    <row r="25">
      <c r="B25" s="3" t="inlineStr">
        <is>
          <t>Implied annual interest rate (interest / principal)</t>
        </is>
      </c>
      <c r="C25" s="12">
        <f>IF($C$24=0,"n/a",$C$23/$C$24)</f>
        <v/>
      </c>
      <c r="D25" s="2" t="inlineStr">
        <is>
          <t>The yearly return on paying the debt down. Above ~50% means remediation pays for itself inside two years.</t>
        </is>
      </c>
    </row>
    <row r="26">
      <c r="B26" s="3" t="inlineStr">
        <is>
          <t>Payback period (years)</t>
        </is>
      </c>
      <c r="C26" s="13">
        <f>IF($C$23=0,"n/a",$C$24/$C$23)</f>
        <v/>
      </c>
      <c r="D26" s="2" t="inlineStr">
        <is>
          <t>Principal / annual interest. How long the saved interest takes to repay the remediation spend.</t>
        </is>
      </c>
    </row>
    <row r="27">
      <c r="B27" s="3" t="inlineStr">
        <is>
          <t>Payback period (months)</t>
        </is>
      </c>
      <c r="C27" s="14">
        <f>IF($C$23=0,"n/a",$C$26*12)</f>
        <v/>
      </c>
      <c r="D27" s="2" t="inlineStr">
        <is>
          <t>The same payback expressed in months.</t>
        </is>
      </c>
    </row>
    <row r="29">
      <c r="B29" s="3" t="inlineStr">
        <is>
          <t>The one-sentence balance sheet</t>
        </is>
      </c>
      <c r="C29" s="2">
        <f>"This debt costs about $"&amp;TEXT($C$23,"#,##0")&amp;"/yr in interest, with about $"&amp;TEXT($C$24,"#,##0")&amp;" to remediate, paying back in "&amp;TEXT($C$26*12,"0")&amp;" months (a "&amp;TEXT(IF($C$24=0,0,$C$23/$C$24),"0%")&amp;" first-year return)."</f>
        <v/>
      </c>
    </row>
  </sheetData>
  <mergeCells count="1">
    <mergeCell ref="C29:D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Debt Ceiling</t>
        </is>
      </c>
    </row>
    <row r="3">
      <c r="B3" s="2" t="inlineStr">
        <is>
          <t>How much of the team's total capacity the debt's interest eats, and how that climbs toward feature velocity = 0.</t>
        </is>
      </c>
    </row>
    <row r="5">
      <c r="B5" s="3" t="inlineStr">
        <is>
          <t>TEAM CAPACITY (edit blue cells)</t>
        </is>
      </c>
    </row>
    <row r="6">
      <c r="B6" s="3" t="inlineStr">
        <is>
          <t>Total engineers on the team</t>
        </is>
      </c>
      <c r="C6" s="5" t="n">
        <v>6</v>
      </c>
      <c r="D6" s="2" t="inlineStr">
        <is>
          <t>The whole team whose capacity you are measuring against (may be larger than the engineers this one debt slows).</t>
        </is>
      </c>
    </row>
    <row r="7">
      <c r="B7" s="3" t="inlineStr">
        <is>
          <t>Working hours per engineer per sprint</t>
        </is>
      </c>
      <c r="C7" s="5" t="n">
        <v>60</v>
      </c>
      <c r="D7" s="2" t="inlineStr">
        <is>
          <t>Usable engineering hours per engineer per sprint. Default: ~30 hrs/week over a 2-week sprint.</t>
        </is>
      </c>
    </row>
    <row r="9">
      <c r="B9" s="3" t="inlineStr">
        <is>
          <t>Total team capacity (hours/year)</t>
        </is>
      </c>
      <c r="C9" s="15">
        <f>$C$6*$C$7*'Debt Balance Sheet'!$C$9</f>
        <v/>
      </c>
      <c r="D9" s="2" t="inlineStr">
        <is>
          <t>Total engineers x working hours per sprint x sprints per year.</t>
        </is>
      </c>
    </row>
    <row r="10">
      <c r="B10" s="3" t="inlineStr">
        <is>
          <t>Debt interest at current assumption (hours/year)</t>
        </is>
      </c>
      <c r="C10" s="9">
        <f>'Debt Balance Sheet'!$C$18</f>
        <v/>
      </c>
      <c r="D10" s="2" t="inlineStr">
        <is>
          <t>Pulled from the Debt Balance Sheet tab (engineers x hours/sprint x sprints/yr).</t>
        </is>
      </c>
    </row>
    <row r="11">
      <c r="B11" s="3" t="inlineStr">
        <is>
          <t>Fraction of total capacity consumed by interest (now)</t>
        </is>
      </c>
      <c r="C11" s="12">
        <f>IF($C$9=0,"n/a",C10/$C$9)</f>
        <v/>
      </c>
      <c r="D11" s="2" t="inlineStr">
        <is>
          <t>Every hour here is an hour of feature capacity the debt has already taken off the table.</t>
        </is>
      </c>
    </row>
    <row r="13">
      <c r="B13" s="3" t="inlineStr">
        <is>
          <t>PROJECTION: as the velocity loss grows, the interest eats more of total capacity</t>
        </is>
      </c>
    </row>
    <row r="14">
      <c r="B14" s="2" t="inlineStr">
        <is>
          <t>Each row raises hours-lost-per-engineer-per-sprint. The ceiling is where interest approaches total capacity (velocity -&gt; 0).</t>
        </is>
      </c>
    </row>
    <row r="15">
      <c r="B15" s="16" t="inlineStr">
        <is>
          <t>Hours lost / eng / sprint</t>
        </is>
      </c>
      <c r="C15" s="16" t="inlineStr">
        <is>
          <t>Interest (hours/year)</t>
        </is>
      </c>
      <c r="D15" s="16" t="inlineStr">
        <is>
          <t>Share of total capacity</t>
        </is>
      </c>
      <c r="E15" s="16" t="inlineStr">
        <is>
          <t>Status</t>
        </is>
      </c>
    </row>
    <row r="16">
      <c r="B16" s="17" t="n">
        <v>2</v>
      </c>
      <c r="C16" s="9">
        <f>'Debt Balance Sheet'!$C$7*B16*'Debt Balance Sheet'!$C$9</f>
        <v/>
      </c>
      <c r="D16" s="18">
        <f>IF($C$9=0,"n/a",C16/$C$9)</f>
        <v/>
      </c>
      <c r="E16" s="19">
        <f>IF(C16/$C$9&gt;=1,"CEILING: velocity ~0",IF(C16/$C$9&gt;=0.5,"Danger: majority of capacity",IF(C16/$C$9&gt;=0.25,"Warning: climbing","OK")))</f>
        <v/>
      </c>
    </row>
    <row r="17">
      <c r="B17" s="17" t="n">
        <v>4</v>
      </c>
      <c r="C17" s="9">
        <f>'Debt Balance Sheet'!$C$7*B17*'Debt Balance Sheet'!$C$9</f>
        <v/>
      </c>
      <c r="D17" s="18">
        <f>IF($C$9=0,"n/a",C17/$C$9)</f>
        <v/>
      </c>
      <c r="E17" s="19">
        <f>IF(C17/$C$9&gt;=1,"CEILING: velocity ~0",IF(C17/$C$9&gt;=0.5,"Danger: majority of capacity",IF(C17/$C$9&gt;=0.25,"Warning: climbing","OK")))</f>
        <v/>
      </c>
    </row>
    <row r="18">
      <c r="B18" s="17" t="n">
        <v>6</v>
      </c>
      <c r="C18" s="9">
        <f>'Debt Balance Sheet'!$C$7*B18*'Debt Balance Sheet'!$C$9</f>
        <v/>
      </c>
      <c r="D18" s="18">
        <f>IF($C$9=0,"n/a",C18/$C$9)</f>
        <v/>
      </c>
      <c r="E18" s="19">
        <f>IF(C18/$C$9&gt;=1,"CEILING: velocity ~0",IF(C18/$C$9&gt;=0.5,"Danger: majority of capacity",IF(C18/$C$9&gt;=0.25,"Warning: climbing","OK")))</f>
        <v/>
      </c>
    </row>
    <row r="19">
      <c r="B19" s="17" t="n">
        <v>8</v>
      </c>
      <c r="C19" s="9">
        <f>'Debt Balance Sheet'!$C$7*B19*'Debt Balance Sheet'!$C$9</f>
        <v/>
      </c>
      <c r="D19" s="18">
        <f>IF($C$9=0,"n/a",C19/$C$9)</f>
        <v/>
      </c>
      <c r="E19" s="19">
        <f>IF(C19/$C$9&gt;=1,"CEILING: velocity ~0",IF(C19/$C$9&gt;=0.5,"Danger: majority of capacity",IF(C19/$C$9&gt;=0.25,"Warning: climbing","OK")))</f>
        <v/>
      </c>
    </row>
    <row r="20">
      <c r="B20" s="17" t="n">
        <v>10</v>
      </c>
      <c r="C20" s="9">
        <f>'Debt Balance Sheet'!$C$7*B20*'Debt Balance Sheet'!$C$9</f>
        <v/>
      </c>
      <c r="D20" s="18">
        <f>IF($C$9=0,"n/a",C20/$C$9)</f>
        <v/>
      </c>
      <c r="E20" s="19">
        <f>IF(C20/$C$9&gt;=1,"CEILING: velocity ~0",IF(C20/$C$9&gt;=0.5,"Danger: majority of capacity",IF(C20/$C$9&gt;=0.25,"Warning: climbing","OK")))</f>
        <v/>
      </c>
    </row>
    <row r="21">
      <c r="B21" s="17" t="n">
        <v>12</v>
      </c>
      <c r="C21" s="9">
        <f>'Debt Balance Sheet'!$C$7*B21*'Debt Balance Sheet'!$C$9</f>
        <v/>
      </c>
      <c r="D21" s="18">
        <f>IF($C$9=0,"n/a",C21/$C$9)</f>
        <v/>
      </c>
      <c r="E21" s="19">
        <f>IF(C21/$C$9&gt;=1,"CEILING: velocity ~0",IF(C21/$C$9&gt;=0.5,"Danger: majority of capacity",IF(C21/$C$9&gt;=0.25,"Warning: climbing","OK")))</f>
        <v/>
      </c>
    </row>
    <row r="22">
      <c r="B22" s="17" t="n">
        <v>15</v>
      </c>
      <c r="C22" s="9">
        <f>'Debt Balance Sheet'!$C$7*B22*'Debt Balance Sheet'!$C$9</f>
        <v/>
      </c>
      <c r="D22" s="18">
        <f>IF($C$9=0,"n/a",C22/$C$9)</f>
        <v/>
      </c>
      <c r="E22" s="19">
        <f>IF(C22/$C$9&gt;=1,"CEILING: velocity ~0",IF(C22/$C$9&gt;=0.5,"Danger: majority of capacity",IF(C22/$C$9&gt;=0.25,"Warning: climbing","OK")))</f>
        <v/>
      </c>
    </row>
    <row r="23">
      <c r="B23" s="17" t="n">
        <v>20</v>
      </c>
      <c r="C23" s="9">
        <f>'Debt Balance Sheet'!$C$7*B23*'Debt Balance Sheet'!$C$9</f>
        <v/>
      </c>
      <c r="D23" s="18">
        <f>IF($C$9=0,"n/a",C23/$C$9)</f>
        <v/>
      </c>
      <c r="E23" s="19">
        <f>IF(C23/$C$9&gt;=1,"CEILING: velocity ~0",IF(C23/$C$9&gt;=0.5,"Danger: majority of capacity",IF(C23/$C$9&gt;=0.25,"Warning: climbing","OK")))</f>
        <v/>
      </c>
    </row>
    <row r="24">
      <c r="B24" s="17" t="n">
        <v>25</v>
      </c>
      <c r="C24" s="9">
        <f>'Debt Balance Sheet'!$C$7*B24*'Debt Balance Sheet'!$C$9</f>
        <v/>
      </c>
      <c r="D24" s="18">
        <f>IF($C$9=0,"n/a",C24/$C$9)</f>
        <v/>
      </c>
      <c r="E24" s="19">
        <f>IF(C24/$C$9&gt;=1,"CEILING: velocity ~0",IF(C24/$C$9&gt;=0.5,"Danger: majority of capacity",IF(C24/$C$9&gt;=0.25,"Warning: climbing","OK")))</f>
        <v/>
      </c>
    </row>
    <row r="25">
      <c r="B25" s="17" t="n">
        <v>30</v>
      </c>
      <c r="C25" s="9">
        <f>'Debt Balance Sheet'!$C$7*B25*'Debt Balance Sheet'!$C$9</f>
        <v/>
      </c>
      <c r="D25" s="18">
        <f>IF($C$9=0,"n/a",C25/$C$9)</f>
        <v/>
      </c>
      <c r="E25" s="19">
        <f>IF(C25/$C$9&gt;=1,"CEILING: velocity ~0",IF(C25/$C$9&gt;=0.5,"Danger: majority of capacity",IF(C25/$C$9&gt;=0.25,"Warning: climbing","OK")))</f>
        <v/>
      </c>
    </row>
    <row r="27">
      <c r="B27" s="2" t="inlineStr">
        <is>
          <t>The ceiling is not hypothetical: when interest approaches total capacity, everyone is busy and nothing ships.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Sensitivity: hours lost per sprint</t>
        </is>
      </c>
    </row>
    <row r="3">
      <c r="B3" s="2" t="inlineStr">
        <is>
          <t>The hours-lost-per-sprint number is the one you are least sure of. This sweeps it and shows how the balance sheet moves.</t>
        </is>
      </c>
    </row>
    <row r="5">
      <c r="B5" s="16" t="inlineStr">
        <is>
          <t>Hours lost / eng / sprint</t>
        </is>
      </c>
      <c r="C5" s="16" t="inlineStr">
        <is>
          <t>Annual interest ($)</t>
        </is>
      </c>
      <c r="D5" s="16" t="inlineStr">
        <is>
          <t>Implied interest rate</t>
        </is>
      </c>
      <c r="E5" s="16" t="inlineStr">
        <is>
          <t>Payback (months)</t>
        </is>
      </c>
    </row>
    <row r="6">
      <c r="B6" s="17" t="n">
        <v>2</v>
      </c>
      <c r="C6" s="20">
        <f>'Debt Balance Sheet'!$C$7*B6*'Debt Balance Sheet'!$C$9*'Debt Balance Sheet'!$C$6+'Debt Balance Sheet'!$C$20</f>
        <v/>
      </c>
      <c r="D6" s="18">
        <f>IF('Debt Balance Sheet'!$C$24=0,"n/a",C6/'Debt Balance Sheet'!$C$24)</f>
        <v/>
      </c>
      <c r="E6" s="14">
        <f>IF(C6=0,"n/a",'Debt Balance Sheet'!$C$24/C6*12)</f>
        <v/>
      </c>
    </row>
    <row r="7">
      <c r="B7" s="17" t="n">
        <v>4</v>
      </c>
      <c r="C7" s="20">
        <f>'Debt Balance Sheet'!$C$7*B7*'Debt Balance Sheet'!$C$9*'Debt Balance Sheet'!$C$6+'Debt Balance Sheet'!$C$20</f>
        <v/>
      </c>
      <c r="D7" s="18">
        <f>IF('Debt Balance Sheet'!$C$24=0,"n/a",C7/'Debt Balance Sheet'!$C$24)</f>
        <v/>
      </c>
      <c r="E7" s="14">
        <f>IF(C7=0,"n/a",'Debt Balance Sheet'!$C$24/C7*12)</f>
        <v/>
      </c>
    </row>
    <row r="8">
      <c r="B8" s="17" t="n">
        <v>6</v>
      </c>
      <c r="C8" s="20">
        <f>'Debt Balance Sheet'!$C$7*B8*'Debt Balance Sheet'!$C$9*'Debt Balance Sheet'!$C$6+'Debt Balance Sheet'!$C$20</f>
        <v/>
      </c>
      <c r="D8" s="18">
        <f>IF('Debt Balance Sheet'!$C$24=0,"n/a",C8/'Debt Balance Sheet'!$C$24)</f>
        <v/>
      </c>
      <c r="E8" s="14">
        <f>IF(C8=0,"n/a",'Debt Balance Sheet'!$C$24/C8*12)</f>
        <v/>
      </c>
    </row>
    <row r="9">
      <c r="B9" s="17" t="n">
        <v>8</v>
      </c>
      <c r="C9" s="20">
        <f>'Debt Balance Sheet'!$C$7*B9*'Debt Balance Sheet'!$C$9*'Debt Balance Sheet'!$C$6+'Debt Balance Sheet'!$C$20</f>
        <v/>
      </c>
      <c r="D9" s="18">
        <f>IF('Debt Balance Sheet'!$C$24=0,"n/a",C9/'Debt Balance Sheet'!$C$24)</f>
        <v/>
      </c>
      <c r="E9" s="14">
        <f>IF(C9=0,"n/a",'Debt Balance Sheet'!$C$24/C9*12)</f>
        <v/>
      </c>
    </row>
    <row r="10">
      <c r="B10" s="17" t="n">
        <v>10</v>
      </c>
      <c r="C10" s="20">
        <f>'Debt Balance Sheet'!$C$7*B10*'Debt Balance Sheet'!$C$9*'Debt Balance Sheet'!$C$6+'Debt Balance Sheet'!$C$20</f>
        <v/>
      </c>
      <c r="D10" s="18">
        <f>IF('Debt Balance Sheet'!$C$24=0,"n/a",C10/'Debt Balance Sheet'!$C$24)</f>
        <v/>
      </c>
      <c r="E10" s="14">
        <f>IF(C10=0,"n/a",'Debt Balance Sheet'!$C$24/C10*12)</f>
        <v/>
      </c>
    </row>
    <row r="11">
      <c r="B11" s="17" t="n">
        <v>12</v>
      </c>
      <c r="C11" s="20">
        <f>'Debt Balance Sheet'!$C$7*B11*'Debt Balance Sheet'!$C$9*'Debt Balance Sheet'!$C$6+'Debt Balance Sheet'!$C$20</f>
        <v/>
      </c>
      <c r="D11" s="18">
        <f>IF('Debt Balance Sheet'!$C$24=0,"n/a",C11/'Debt Balance Sheet'!$C$24)</f>
        <v/>
      </c>
      <c r="E11" s="14">
        <f>IF(C11=0,"n/a",'Debt Balance Sheet'!$C$24/C11*12)</f>
        <v/>
      </c>
    </row>
    <row r="12">
      <c r="B12" s="17" t="n">
        <v>15</v>
      </c>
      <c r="C12" s="20">
        <f>'Debt Balance Sheet'!$C$7*B12*'Debt Balance Sheet'!$C$9*'Debt Balance Sheet'!$C$6+'Debt Balance Sheet'!$C$20</f>
        <v/>
      </c>
      <c r="D12" s="18">
        <f>IF('Debt Balance Sheet'!$C$24=0,"n/a",C12/'Debt Balance Sheet'!$C$24)</f>
        <v/>
      </c>
      <c r="E12" s="14">
        <f>IF(C12=0,"n/a",'Debt Balance Sheet'!$C$24/C12*12)</f>
        <v/>
      </c>
    </row>
    <row r="13">
      <c r="B13" s="17" t="n">
        <v>20</v>
      </c>
      <c r="C13" s="20">
        <f>'Debt Balance Sheet'!$C$7*B13*'Debt Balance Sheet'!$C$9*'Debt Balance Sheet'!$C$6+'Debt Balance Sheet'!$C$20</f>
        <v/>
      </c>
      <c r="D13" s="18">
        <f>IF('Debt Balance Sheet'!$C$24=0,"n/a",C13/'Debt Balance Sheet'!$C$24)</f>
        <v/>
      </c>
      <c r="E13" s="14">
        <f>IF(C13=0,"n/a",'Debt Balance Sheet'!$C$24/C13*12)</f>
        <v/>
      </c>
    </row>
    <row r="15">
      <c r="B15" s="2" t="inlineStr">
        <is>
          <t>If the implied rate and payback barely move across the range, trust the call. If they swing, go measure the hours before you decide.</t>
        </is>
      </c>
    </row>
    <row r="16">
      <c r="B16" s="2" t="inlineStr">
        <is>
          <t>The row at 8 hrs/sprint is the article's default: ~$187K/yr interest on one module.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2026-10-14T16:43:49Z</dcterms:created>
  <dcterms:modified xmlns:dcterms="http://purl.org/dc/terms/" xmlns:xsi="http://www.w3.org/2001/XMLSchema-instance" xsi:type="dcterms:W3CDTF">2026-10-14T16:43:49Z</dcterms:modified>
</cp:coreProperties>
</file>