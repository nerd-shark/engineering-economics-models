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rossover Calculator" sheetId="2" state="visible" r:id="rId2"/>
    <sheet xmlns:r="http://schemas.openxmlformats.org/officeDocument/2006/relationships" name="Hidden Costs of Not Migrating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x&quot;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7606A"/>
      <sz val="10"/>
    </font>
    <font>
      <b val="1"/>
    </font>
    <font>
      <b val="1"/>
      <color rgb="00FFFFFF"/>
      <sz val="12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4CE"/>
      </patternFill>
    </fill>
    <fill>
      <patternFill patternType="solid">
        <fgColor rgb="0024292F"/>
      </patternFill>
    </fill>
    <fill>
      <patternFill patternType="solid">
        <fgColor rgb="00FDE2E1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165" fontId="0" fillId="2" borderId="1" pivotButton="0" quotePrefix="0" xfId="0"/>
    <xf numFmtId="164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5" borderId="1" pivotButton="0" quotePrefix="0" xfId="0"/>
    <xf numFmtId="164" fontId="0" fillId="6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Migration Crossover Calculator</t>
        </is>
      </c>
    </row>
    <row r="3">
      <c r="B3" s="2" t="inlineStr">
        <is>
          <t>Companion to "The Economics of Migration: Sunk Cost vs. Rip-and-Replace" (Engineering Economics, Part 6)</t>
        </is>
      </c>
    </row>
    <row r="4">
      <c r="B4" t="inlineStr"/>
    </row>
    <row r="5">
      <c r="B5" s="3" t="inlineStr">
        <is>
          <t>What this answers</t>
        </is>
      </c>
    </row>
    <row r="6">
      <c r="B6" t="inlineStr">
        <is>
          <t>Keeping an aging system is cheaper than migrating EVERY SINGLE YEAR, right up to and past the point</t>
        </is>
      </c>
    </row>
    <row r="7">
      <c r="B7" t="inlineStr">
        <is>
          <t>where it isn't. This tool finds that point: the crossover year when the cumulative cost of keeping the</t>
        </is>
      </c>
    </row>
    <row r="8">
      <c r="B8" t="inlineStr">
        <is>
          <t>old system passes the cumulative cost of replacing it. After that year, every year of "one more year"</t>
        </is>
      </c>
    </row>
    <row r="9">
      <c r="B9" t="inlineStr">
        <is>
          <t>is dead loss, even though each individual year still looks cheaper.</t>
        </is>
      </c>
    </row>
    <row r="10">
      <c r="B10" t="inlineStr"/>
    </row>
    <row r="11">
      <c r="B11" t="inlineStr">
        <is>
          <t>Sunk cost is deliberately absent. Money already spent is gone under every option, so it does not appear</t>
        </is>
      </c>
    </row>
    <row r="12">
      <c r="B12" t="inlineStr">
        <is>
          <t>anywhere in this model. Only forward-looking costs move the answer.</t>
        </is>
      </c>
    </row>
    <row r="13">
      <c r="B13" t="inlineStr"/>
    </row>
    <row r="14">
      <c r="B14" s="3" t="inlineStr">
        <is>
          <t>The three tabs</t>
        </is>
      </c>
    </row>
    <row r="15">
      <c r="B15" t="inlineStr">
        <is>
          <t>1. Crossover Calculator - the core model. Edit the blue cells; read the crossover year. Start here.</t>
        </is>
      </c>
    </row>
    <row r="16">
      <c r="B16" t="inlineStr">
        <is>
          <t>2. Hidden Costs of Not Migrating - adds attrition, security, opportunity, and velocity costs to the</t>
        </is>
      </c>
    </row>
    <row r="17">
      <c r="B17" t="inlineStr">
        <is>
          <t xml:space="preserve">    "keep" line and shows how much earlier the crossover arrives once you stop pretending keeping is free.</t>
        </is>
      </c>
    </row>
    <row r="18">
      <c r="B18" t="inlineStr">
        <is>
          <t>3. Sensitivity - sweeps the maintenance growth rate, the assumption you are least sure of, and shows</t>
        </is>
      </c>
    </row>
    <row r="19">
      <c r="B19" t="inlineStr">
        <is>
          <t xml:space="preserve">    how the crossover year moves. If it barely moves, trust the call. If it swings, go measure that number.</t>
        </is>
      </c>
    </row>
    <row r="20">
      <c r="B20" t="inlineStr"/>
    </row>
    <row r="21">
      <c r="B21" s="3" t="inlineStr">
        <is>
          <t>How to use it</t>
        </is>
      </c>
    </row>
    <row r="22">
      <c r="B22" t="inlineStr">
        <is>
          <t>Edit only the shaded blue cells. Everything else is a formula. Set the horizon, today's annual</t>
        </is>
      </c>
    </row>
    <row r="23">
      <c r="B23" t="inlineStr">
        <is>
          <t>maintenance, how fast that maintenance rises, the one-time migration cost, and the new system's annual</t>
        </is>
      </c>
    </row>
    <row r="24">
      <c r="B24" t="inlineStr">
        <is>
          <t>run cost. The model does the rest.</t>
        </is>
      </c>
    </row>
    <row r="25">
      <c r="B25" t="inlineStr"/>
    </row>
    <row r="26">
      <c r="B26" s="3" t="inlineStr">
        <is>
          <t>The honest limits</t>
        </is>
      </c>
    </row>
    <row r="27">
      <c r="B27" t="inlineStr">
        <is>
          <t>- The maintenance growth rate drives the whole result and is the hardest number to predict. That is what</t>
        </is>
      </c>
    </row>
    <row r="28">
      <c r="B28" t="inlineStr">
        <is>
          <t xml:space="preserve">    the Sensitivity tab is for.</t>
        </is>
      </c>
    </row>
    <row r="29">
      <c r="B29" t="inlineStr">
        <is>
          <t>- This prices COST, not value or execution risk. A migration that pencils out and is executed badly (see</t>
        </is>
      </c>
    </row>
    <row r="30">
      <c r="B30" t="inlineStr">
        <is>
          <t xml:space="preserve">    TSB in the article) is worse than not migrating. The spreadsheet cannot tell you if your team can land it.</t>
        </is>
      </c>
    </row>
    <row r="31">
      <c r="B31" t="inlineStr">
        <is>
          <t>- Defaults are illustrative, from the article (crossover at year 4). Replace every blue cell with your own.</t>
        </is>
      </c>
    </row>
    <row r="32">
      <c r="B32" t="inlineStr">
        <is>
          <t>- The real IRS Individual Master File / CADE 2 case in the article is the full-scale version of this trap:</t>
        </is>
      </c>
    </row>
    <row r="33">
      <c r="B33" t="inlineStr">
        <is>
          <t xml:space="preserve">    a decade-plus of locally-reasonable deferrals, each one pushing the replacement cost higher.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Crossover Calculator</t>
        </is>
      </c>
    </row>
    <row r="3">
      <c r="B3" s="2" t="inlineStr">
        <is>
          <t>Edit the blue cells. The crossover year is computed at the bottom.</t>
        </is>
      </c>
    </row>
    <row r="5">
      <c r="B5" s="3" t="inlineStr">
        <is>
          <t>INPUTS (edit the blue cells)</t>
        </is>
      </c>
    </row>
    <row r="6">
      <c r="B6" s="3" t="inlineStr">
        <is>
          <t>Time horizon (years)</t>
        </is>
      </c>
      <c r="C6" s="4" t="n">
        <v>7</v>
      </c>
      <c r="D6" s="2" t="inlineStr">
        <is>
          <t>How many years to project. 7-10 is usually enough to see the crossover.</t>
        </is>
      </c>
    </row>
    <row r="7">
      <c r="B7" s="3" t="inlineStr">
        <is>
          <t>Current annual maintenance of old system ($)</t>
        </is>
      </c>
      <c r="C7" s="5" t="n">
        <v>600000</v>
      </c>
      <c r="D7" s="2" t="inlineStr">
        <is>
          <t>What the old system costs to keep running THIS year.</t>
        </is>
      </c>
    </row>
    <row r="8">
      <c r="B8" s="3" t="inlineStr">
        <is>
          <t>Annual maintenance growth rate (%)</t>
        </is>
      </c>
      <c r="C8" s="6" t="n">
        <v>0.2</v>
      </c>
      <c r="D8" s="2" t="inlineStr">
        <is>
          <t>How fast that cost rises as the system ages. 10-20% is common for genuinely aging systems.</t>
        </is>
      </c>
    </row>
    <row r="9">
      <c r="B9" s="3" t="inlineStr">
        <is>
          <t>One-time migration cost ($)</t>
        </is>
      </c>
      <c r="C9" s="5" t="n">
        <v>2000000</v>
      </c>
      <c r="D9" s="2" t="inlineStr">
        <is>
          <t>Full cost to replace: build + dual-run + data + integration + retraining + testing.</t>
        </is>
      </c>
    </row>
    <row r="10">
      <c r="B10" s="3" t="inlineStr">
        <is>
          <t>Migration realism multiplier (x)</t>
        </is>
      </c>
      <c r="C10" s="7" t="n">
        <v>1</v>
      </c>
      <c r="D10" s="2" t="inlineStr">
        <is>
          <t>Set to 2.0 to apply the 2x rule of thumb to an engineering-only estimate. 1.0 if your number is already honest.</t>
        </is>
      </c>
    </row>
    <row r="11">
      <c r="B11" s="3" t="inlineStr">
        <is>
          <t>New system annual run cost ($)</t>
        </is>
      </c>
      <c r="C11" s="5" t="n">
        <v>150000</v>
      </c>
      <c r="D11" s="2" t="inlineStr">
        <is>
          <t>What the replacement costs to operate each year once live.</t>
        </is>
      </c>
    </row>
    <row r="13">
      <c r="B13" s="3" t="inlineStr">
        <is>
          <t>Effective migration cost (base x multiplier)</t>
        </is>
      </c>
      <c r="C13" s="8">
        <f>$C$9*$C$10</f>
        <v/>
      </c>
    </row>
    <row r="15">
      <c r="B15" s="9" t="inlineStr">
        <is>
          <t>Year</t>
        </is>
      </c>
      <c r="C15" s="9" t="inlineStr">
        <is>
          <t>Annual maint (keep)</t>
        </is>
      </c>
      <c r="D15" s="9" t="inlineStr">
        <is>
          <t>Cumulative: KEEP</t>
        </is>
      </c>
      <c r="E15" s="9" t="inlineStr">
        <is>
          <t>Cumulative: REPLACE</t>
        </is>
      </c>
      <c r="F15" s="9" t="inlineStr">
        <is>
          <t>Cheaper so far</t>
        </is>
      </c>
      <c r="G15" s="9" t="inlineStr">
        <is>
          <t>Gap (keep - replace)</t>
        </is>
      </c>
    </row>
    <row r="16">
      <c r="B16" s="10" t="n">
        <v>1</v>
      </c>
      <c r="C16" s="11">
        <f>IF(1&lt;=$C$6,$C$7*(1+$C$8)^(1-1),"")</f>
        <v/>
      </c>
      <c r="D16" s="11">
        <f>IF(1&lt;=$C$6,C16,"")</f>
        <v/>
      </c>
      <c r="E16" s="12">
        <f>IF(1&lt;=$C$6,$C$13+$C$11*1,"")</f>
        <v/>
      </c>
      <c r="F16" s="10">
        <f>IF(1&lt;=$C$6,IF(D16&lt;=E16,"Keep","REPLACE"),"")</f>
        <v/>
      </c>
      <c r="G16" s="13">
        <f>IF(1&lt;=$C$6,D16-E16,"")</f>
        <v/>
      </c>
    </row>
    <row r="17">
      <c r="B17" s="10" t="n">
        <v>2</v>
      </c>
      <c r="C17" s="11">
        <f>IF(2&lt;=$C$6,$C$7*(1+$C$8)^(2-1),"")</f>
        <v/>
      </c>
      <c r="D17" s="11">
        <f>IF(2&lt;=$C$6,D16+C17,"")</f>
        <v/>
      </c>
      <c r="E17" s="12">
        <f>IF(2&lt;=$C$6,$C$13+$C$11*2,"")</f>
        <v/>
      </c>
      <c r="F17" s="10">
        <f>IF(2&lt;=$C$6,IF(D17&lt;=E17,"Keep","REPLACE"),"")</f>
        <v/>
      </c>
      <c r="G17" s="13">
        <f>IF(2&lt;=$C$6,D17-E17,"")</f>
        <v/>
      </c>
    </row>
    <row r="18">
      <c r="B18" s="10" t="n">
        <v>3</v>
      </c>
      <c r="C18" s="11">
        <f>IF(3&lt;=$C$6,$C$7*(1+$C$8)^(3-1),"")</f>
        <v/>
      </c>
      <c r="D18" s="11">
        <f>IF(3&lt;=$C$6,D17+C18,"")</f>
        <v/>
      </c>
      <c r="E18" s="12">
        <f>IF(3&lt;=$C$6,$C$13+$C$11*3,"")</f>
        <v/>
      </c>
      <c r="F18" s="10">
        <f>IF(3&lt;=$C$6,IF(D18&lt;=E18,"Keep","REPLACE"),"")</f>
        <v/>
      </c>
      <c r="G18" s="13">
        <f>IF(3&lt;=$C$6,D18-E18,"")</f>
        <v/>
      </c>
    </row>
    <row r="19">
      <c r="B19" s="10" t="n">
        <v>4</v>
      </c>
      <c r="C19" s="11">
        <f>IF(4&lt;=$C$6,$C$7*(1+$C$8)^(4-1),"")</f>
        <v/>
      </c>
      <c r="D19" s="11">
        <f>IF(4&lt;=$C$6,D18+C19,"")</f>
        <v/>
      </c>
      <c r="E19" s="12">
        <f>IF(4&lt;=$C$6,$C$13+$C$11*4,"")</f>
        <v/>
      </c>
      <c r="F19" s="10">
        <f>IF(4&lt;=$C$6,IF(D19&lt;=E19,"Keep","REPLACE"),"")</f>
        <v/>
      </c>
      <c r="G19" s="13">
        <f>IF(4&lt;=$C$6,D19-E19,"")</f>
        <v/>
      </c>
    </row>
    <row r="20">
      <c r="B20" s="10" t="n">
        <v>5</v>
      </c>
      <c r="C20" s="11">
        <f>IF(5&lt;=$C$6,$C$7*(1+$C$8)^(5-1),"")</f>
        <v/>
      </c>
      <c r="D20" s="11">
        <f>IF(5&lt;=$C$6,D19+C20,"")</f>
        <v/>
      </c>
      <c r="E20" s="12">
        <f>IF(5&lt;=$C$6,$C$13+$C$11*5,"")</f>
        <v/>
      </c>
      <c r="F20" s="10">
        <f>IF(5&lt;=$C$6,IF(D20&lt;=E20,"Keep","REPLACE"),"")</f>
        <v/>
      </c>
      <c r="G20" s="13">
        <f>IF(5&lt;=$C$6,D20-E20,"")</f>
        <v/>
      </c>
    </row>
    <row r="21">
      <c r="B21" s="10" t="n">
        <v>6</v>
      </c>
      <c r="C21" s="11">
        <f>IF(6&lt;=$C$6,$C$7*(1+$C$8)^(6-1),"")</f>
        <v/>
      </c>
      <c r="D21" s="11">
        <f>IF(6&lt;=$C$6,D20+C21,"")</f>
        <v/>
      </c>
      <c r="E21" s="12">
        <f>IF(6&lt;=$C$6,$C$13+$C$11*6,"")</f>
        <v/>
      </c>
      <c r="F21" s="10">
        <f>IF(6&lt;=$C$6,IF(D21&lt;=E21,"Keep","REPLACE"),"")</f>
        <v/>
      </c>
      <c r="G21" s="13">
        <f>IF(6&lt;=$C$6,D21-E21,"")</f>
        <v/>
      </c>
    </row>
    <row r="22">
      <c r="B22" s="10" t="n">
        <v>7</v>
      </c>
      <c r="C22" s="11">
        <f>IF(7&lt;=$C$6,$C$7*(1+$C$8)^(7-1),"")</f>
        <v/>
      </c>
      <c r="D22" s="11">
        <f>IF(7&lt;=$C$6,D21+C22,"")</f>
        <v/>
      </c>
      <c r="E22" s="12">
        <f>IF(7&lt;=$C$6,$C$13+$C$11*7,"")</f>
        <v/>
      </c>
      <c r="F22" s="10">
        <f>IF(7&lt;=$C$6,IF(D22&lt;=E22,"Keep","REPLACE"),"")</f>
        <v/>
      </c>
      <c r="G22" s="13">
        <f>IF(7&lt;=$C$6,D22-E22,"")</f>
        <v/>
      </c>
    </row>
    <row r="23">
      <c r="B23" s="10" t="n">
        <v>8</v>
      </c>
      <c r="C23" s="11">
        <f>IF(8&lt;=$C$6,$C$7*(1+$C$8)^(8-1),"")</f>
        <v/>
      </c>
      <c r="D23" s="11">
        <f>IF(8&lt;=$C$6,D22+C23,"")</f>
        <v/>
      </c>
      <c r="E23" s="12">
        <f>IF(8&lt;=$C$6,$C$13+$C$11*8,"")</f>
        <v/>
      </c>
      <c r="F23" s="10">
        <f>IF(8&lt;=$C$6,IF(D23&lt;=E23,"Keep","REPLACE"),"")</f>
        <v/>
      </c>
      <c r="G23" s="13">
        <f>IF(8&lt;=$C$6,D23-E23,"")</f>
        <v/>
      </c>
    </row>
    <row r="24">
      <c r="B24" s="10" t="n">
        <v>9</v>
      </c>
      <c r="C24" s="11">
        <f>IF(9&lt;=$C$6,$C$7*(1+$C$8)^(9-1),"")</f>
        <v/>
      </c>
      <c r="D24" s="11">
        <f>IF(9&lt;=$C$6,D23+C24,"")</f>
        <v/>
      </c>
      <c r="E24" s="12">
        <f>IF(9&lt;=$C$6,$C$13+$C$11*9,"")</f>
        <v/>
      </c>
      <c r="F24" s="10">
        <f>IF(9&lt;=$C$6,IF(D24&lt;=E24,"Keep","REPLACE"),"")</f>
        <v/>
      </c>
      <c r="G24" s="13">
        <f>IF(9&lt;=$C$6,D24-E24,"")</f>
        <v/>
      </c>
    </row>
    <row r="25">
      <c r="B25" s="10" t="n">
        <v>10</v>
      </c>
      <c r="C25" s="11">
        <f>IF(10&lt;=$C$6,$C$7*(1+$C$8)^(10-1),"")</f>
        <v/>
      </c>
      <c r="D25" s="11">
        <f>IF(10&lt;=$C$6,D24+C25,"")</f>
        <v/>
      </c>
      <c r="E25" s="12">
        <f>IF(10&lt;=$C$6,$C$13+$C$11*10,"")</f>
        <v/>
      </c>
      <c r="F25" s="10">
        <f>IF(10&lt;=$C$6,IF(D25&lt;=E25,"Keep","REPLACE"),"")</f>
        <v/>
      </c>
      <c r="G25" s="13">
        <f>IF(10&lt;=$C$6,D25-E25,"")</f>
        <v/>
      </c>
    </row>
    <row r="26">
      <c r="B26" s="10" t="n">
        <v>11</v>
      </c>
      <c r="C26" s="11">
        <f>IF(11&lt;=$C$6,$C$7*(1+$C$8)^(11-1),"")</f>
        <v/>
      </c>
      <c r="D26" s="11">
        <f>IF(11&lt;=$C$6,D25+C26,"")</f>
        <v/>
      </c>
      <c r="E26" s="12">
        <f>IF(11&lt;=$C$6,$C$13+$C$11*11,"")</f>
        <v/>
      </c>
      <c r="F26" s="10">
        <f>IF(11&lt;=$C$6,IF(D26&lt;=E26,"Keep","REPLACE"),"")</f>
        <v/>
      </c>
      <c r="G26" s="13">
        <f>IF(11&lt;=$C$6,D26-E26,"")</f>
        <v/>
      </c>
    </row>
    <row r="27">
      <c r="B27" s="10" t="n">
        <v>12</v>
      </c>
      <c r="C27" s="11">
        <f>IF(12&lt;=$C$6,$C$7*(1+$C$8)^(12-1),"")</f>
        <v/>
      </c>
      <c r="D27" s="11">
        <f>IF(12&lt;=$C$6,D26+C27,"")</f>
        <v/>
      </c>
      <c r="E27" s="12">
        <f>IF(12&lt;=$C$6,$C$13+$C$11*12,"")</f>
        <v/>
      </c>
      <c r="F27" s="10">
        <f>IF(12&lt;=$C$6,IF(D27&lt;=E27,"Keep","REPLACE"),"")</f>
        <v/>
      </c>
      <c r="G27" s="13">
        <f>IF(12&lt;=$C$6,D27-E27,"")</f>
        <v/>
      </c>
    </row>
    <row r="28">
      <c r="B28" s="10" t="n">
        <v>13</v>
      </c>
      <c r="C28" s="11">
        <f>IF(13&lt;=$C$6,$C$7*(1+$C$8)^(13-1),"")</f>
        <v/>
      </c>
      <c r="D28" s="11">
        <f>IF(13&lt;=$C$6,D27+C28,"")</f>
        <v/>
      </c>
      <c r="E28" s="12">
        <f>IF(13&lt;=$C$6,$C$13+$C$11*13,"")</f>
        <v/>
      </c>
      <c r="F28" s="10">
        <f>IF(13&lt;=$C$6,IF(D28&lt;=E28,"Keep","REPLACE"),"")</f>
        <v/>
      </c>
      <c r="G28" s="13">
        <f>IF(13&lt;=$C$6,D28-E28,"")</f>
        <v/>
      </c>
    </row>
    <row r="29">
      <c r="B29" s="10" t="n">
        <v>14</v>
      </c>
      <c r="C29" s="11">
        <f>IF(14&lt;=$C$6,$C$7*(1+$C$8)^(14-1),"")</f>
        <v/>
      </c>
      <c r="D29" s="11">
        <f>IF(14&lt;=$C$6,D28+C29,"")</f>
        <v/>
      </c>
      <c r="E29" s="12">
        <f>IF(14&lt;=$C$6,$C$13+$C$11*14,"")</f>
        <v/>
      </c>
      <c r="F29" s="10">
        <f>IF(14&lt;=$C$6,IF(D29&lt;=E29,"Keep","REPLACE"),"")</f>
        <v/>
      </c>
      <c r="G29" s="13">
        <f>IF(14&lt;=$C$6,D29-E29,"")</f>
        <v/>
      </c>
    </row>
    <row r="30">
      <c r="B30" s="10" t="n">
        <v>15</v>
      </c>
      <c r="C30" s="11">
        <f>IF(15&lt;=$C$6,$C$7*(1+$C$8)^(15-1),"")</f>
        <v/>
      </c>
      <c r="D30" s="11">
        <f>IF(15&lt;=$C$6,D29+C30,"")</f>
        <v/>
      </c>
      <c r="E30" s="12">
        <f>IF(15&lt;=$C$6,$C$13+$C$11*15,"")</f>
        <v/>
      </c>
      <c r="F30" s="10">
        <f>IF(15&lt;=$C$6,IF(D30&lt;=E30,"Keep","REPLACE"),"")</f>
        <v/>
      </c>
      <c r="G30" s="13">
        <f>IF(15&lt;=$C$6,D30-E30,"")</f>
        <v/>
      </c>
    </row>
    <row r="32">
      <c r="B32" s="3" t="inlineStr">
        <is>
          <t>RESULT</t>
        </is>
      </c>
    </row>
    <row r="33">
      <c r="B33" s="3" t="inlineStr">
        <is>
          <t>Crossover year (keep passes replace)</t>
        </is>
      </c>
      <c r="C33" s="14">
        <f>IFERROR(MATCH("REPLACE",F16:F30,0),"beyond horizon")</f>
        <v/>
      </c>
    </row>
    <row r="34">
      <c r="B34" s="3" t="inlineStr">
        <is>
          <t>Interpretation</t>
        </is>
      </c>
      <c r="C34" s="2">
        <f>IF(ISNUMBER(C33),"Migrate by year "&amp;C33&amp;". Before it, deferring is defensible. After it, every year of delay is dead loss.","Keeping is still cheaper across your whole horizon. Re-check as maintenance rises or extend the horizon.")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Hidden Costs of Not Migrating</t>
        </is>
      </c>
    </row>
    <row r="3">
      <c r="B3" s="2" t="inlineStr">
        <is>
          <t>The "keep" line is never just the maintenance invoice. Add the hidden tax and watch the crossover move earlier.</t>
        </is>
      </c>
    </row>
    <row r="5">
      <c r="B5" s="3" t="inlineStr">
        <is>
          <t>EXTRA ANNUAL COST OF KEEPING THE OLD SYSTEM (edit blue cells)</t>
        </is>
      </c>
    </row>
    <row r="6">
      <c r="B6" s="3" t="inlineStr">
        <is>
          <t>Talent attrition / premium to staff legacy skills ($/yr)</t>
        </is>
      </c>
      <c r="C6" s="5" t="n">
        <v>120000</v>
      </c>
      <c r="D6" s="2" t="inlineStr">
        <is>
          <t>Higher comp for scarce skills + cost of churn and backfill gaps.</t>
        </is>
      </c>
    </row>
    <row r="7">
      <c r="B7" s="3" t="inlineStr">
        <is>
          <t>Security exposure (risk-weighted $/yr)</t>
        </is>
      </c>
      <c r="C7" s="5" t="n">
        <v>80000</v>
      </c>
      <c r="D7" s="2" t="inlineStr">
        <is>
          <t>Expected annual cost of an unpatched/unsupported vulnerability surface.</t>
        </is>
      </c>
    </row>
    <row r="8">
      <c r="B8" s="3" t="inlineStr">
        <is>
          <t>Opportunity cost of maintenance capacity ($/yr)</t>
        </is>
      </c>
      <c r="C8" s="5" t="n">
        <v>250000</v>
      </c>
      <c r="D8" s="2" t="inlineStr">
        <is>
          <t>Value of what your best people would build if they were not maintaining this.</t>
        </is>
      </c>
    </row>
    <row r="9">
      <c r="B9" s="3" t="inlineStr">
        <is>
          <t>Competitive / feature-velocity drag ($/yr)</t>
        </is>
      </c>
      <c r="C9" s="5" t="n">
        <v>100000</v>
      </c>
      <c r="D9" s="2" t="inlineStr">
        <is>
          <t>Revenue or market cost of shipping slower than competitors on the old platform.</t>
        </is>
      </c>
    </row>
    <row r="11">
      <c r="B11" s="3" t="inlineStr">
        <is>
          <t>Total hidden tax per year ($)</t>
        </is>
      </c>
      <c r="C11" s="8">
        <f>SUM(C6:C9)</f>
        <v/>
      </c>
    </row>
    <row r="13">
      <c r="B13" s="2" t="inlineStr">
        <is>
          <t>This tab reuses the Crossover Calculator inputs and adds the hidden tax to the KEEP line each year.</t>
        </is>
      </c>
    </row>
    <row r="15">
      <c r="B15" s="9" t="inlineStr">
        <is>
          <t>Year</t>
        </is>
      </c>
      <c r="C15" s="9" t="inlineStr">
        <is>
          <t>KEEP (maint only)</t>
        </is>
      </c>
      <c r="D15" s="9" t="inlineStr">
        <is>
          <t>KEEP (maint + hidden tax)</t>
        </is>
      </c>
      <c r="E15" s="9" t="inlineStr">
        <is>
          <t>Cumulative: REPLACE</t>
        </is>
      </c>
      <c r="F15" s="9" t="inlineStr">
        <is>
          <t>Cheaper so far (with hidden tax)</t>
        </is>
      </c>
    </row>
    <row r="16">
      <c r="B16" s="10" t="n">
        <v>1</v>
      </c>
      <c r="C16" s="11">
        <f>IF(1&lt;='Crossover Calculator'!$C$6,'Crossover Calculator'!$C$7*(1+'Crossover Calculator'!$C$8)^(1-1),"")</f>
        <v/>
      </c>
      <c r="D16" s="11">
        <f>IF(1&lt;='Crossover Calculator'!$C$6,C16+$C$11*1,"")</f>
        <v/>
      </c>
      <c r="E16" s="12">
        <f>IF(1&lt;='Crossover Calculator'!$C$6,'Crossover Calculator'!$C$13+'Crossover Calculator'!$C$11*1,"")</f>
        <v/>
      </c>
      <c r="F16" s="10">
        <f>IF(1&lt;='Crossover Calculator'!$C$6,IF(D16&lt;=E16,"Keep","REPLACE"),"")</f>
        <v/>
      </c>
    </row>
    <row r="17">
      <c r="B17" s="10" t="n">
        <v>2</v>
      </c>
      <c r="C17" s="11">
        <f>IF(2&lt;='Crossover Calculator'!$C$6,C16+'Crossover Calculator'!$C$7*(1+'Crossover Calculator'!$C$8)^(2-1),"")</f>
        <v/>
      </c>
      <c r="D17" s="11">
        <f>IF(2&lt;='Crossover Calculator'!$C$6,C17+$C$11*2,"")</f>
        <v/>
      </c>
      <c r="E17" s="12">
        <f>IF(2&lt;='Crossover Calculator'!$C$6,'Crossover Calculator'!$C$13+'Crossover Calculator'!$C$11*2,"")</f>
        <v/>
      </c>
      <c r="F17" s="10">
        <f>IF(2&lt;='Crossover Calculator'!$C$6,IF(D17&lt;=E17,"Keep","REPLACE"),"")</f>
        <v/>
      </c>
    </row>
    <row r="18">
      <c r="B18" s="10" t="n">
        <v>3</v>
      </c>
      <c r="C18" s="11">
        <f>IF(3&lt;='Crossover Calculator'!$C$6,C17+'Crossover Calculator'!$C$7*(1+'Crossover Calculator'!$C$8)^(3-1),"")</f>
        <v/>
      </c>
      <c r="D18" s="11">
        <f>IF(3&lt;='Crossover Calculator'!$C$6,C18+$C$11*3,"")</f>
        <v/>
      </c>
      <c r="E18" s="12">
        <f>IF(3&lt;='Crossover Calculator'!$C$6,'Crossover Calculator'!$C$13+'Crossover Calculator'!$C$11*3,"")</f>
        <v/>
      </c>
      <c r="F18" s="10">
        <f>IF(3&lt;='Crossover Calculator'!$C$6,IF(D18&lt;=E18,"Keep","REPLACE"),"")</f>
        <v/>
      </c>
    </row>
    <row r="19">
      <c r="B19" s="10" t="n">
        <v>4</v>
      </c>
      <c r="C19" s="11">
        <f>IF(4&lt;='Crossover Calculator'!$C$6,C18+'Crossover Calculator'!$C$7*(1+'Crossover Calculator'!$C$8)^(4-1),"")</f>
        <v/>
      </c>
      <c r="D19" s="11">
        <f>IF(4&lt;='Crossover Calculator'!$C$6,C19+$C$11*4,"")</f>
        <v/>
      </c>
      <c r="E19" s="12">
        <f>IF(4&lt;='Crossover Calculator'!$C$6,'Crossover Calculator'!$C$13+'Crossover Calculator'!$C$11*4,"")</f>
        <v/>
      </c>
      <c r="F19" s="10">
        <f>IF(4&lt;='Crossover Calculator'!$C$6,IF(D19&lt;=E19,"Keep","REPLACE"),"")</f>
        <v/>
      </c>
    </row>
    <row r="20">
      <c r="B20" s="10" t="n">
        <v>5</v>
      </c>
      <c r="C20" s="11">
        <f>IF(5&lt;='Crossover Calculator'!$C$6,C19+'Crossover Calculator'!$C$7*(1+'Crossover Calculator'!$C$8)^(5-1),"")</f>
        <v/>
      </c>
      <c r="D20" s="11">
        <f>IF(5&lt;='Crossover Calculator'!$C$6,C20+$C$11*5,"")</f>
        <v/>
      </c>
      <c r="E20" s="12">
        <f>IF(5&lt;='Crossover Calculator'!$C$6,'Crossover Calculator'!$C$13+'Crossover Calculator'!$C$11*5,"")</f>
        <v/>
      </c>
      <c r="F20" s="10">
        <f>IF(5&lt;='Crossover Calculator'!$C$6,IF(D20&lt;=E20,"Keep","REPLACE"),"")</f>
        <v/>
      </c>
    </row>
    <row r="21">
      <c r="B21" s="10" t="n">
        <v>6</v>
      </c>
      <c r="C21" s="11">
        <f>IF(6&lt;='Crossover Calculator'!$C$6,C20+'Crossover Calculator'!$C$7*(1+'Crossover Calculator'!$C$8)^(6-1),"")</f>
        <v/>
      </c>
      <c r="D21" s="11">
        <f>IF(6&lt;='Crossover Calculator'!$C$6,C21+$C$11*6,"")</f>
        <v/>
      </c>
      <c r="E21" s="12">
        <f>IF(6&lt;='Crossover Calculator'!$C$6,'Crossover Calculator'!$C$13+'Crossover Calculator'!$C$11*6,"")</f>
        <v/>
      </c>
      <c r="F21" s="10">
        <f>IF(6&lt;='Crossover Calculator'!$C$6,IF(D21&lt;=E21,"Keep","REPLACE"),"")</f>
        <v/>
      </c>
    </row>
    <row r="22">
      <c r="B22" s="10" t="n">
        <v>7</v>
      </c>
      <c r="C22" s="11">
        <f>IF(7&lt;='Crossover Calculator'!$C$6,C21+'Crossover Calculator'!$C$7*(1+'Crossover Calculator'!$C$8)^(7-1),"")</f>
        <v/>
      </c>
      <c r="D22" s="11">
        <f>IF(7&lt;='Crossover Calculator'!$C$6,C22+$C$11*7,"")</f>
        <v/>
      </c>
      <c r="E22" s="12">
        <f>IF(7&lt;='Crossover Calculator'!$C$6,'Crossover Calculator'!$C$13+'Crossover Calculator'!$C$11*7,"")</f>
        <v/>
      </c>
      <c r="F22" s="10">
        <f>IF(7&lt;='Crossover Calculator'!$C$6,IF(D22&lt;=E22,"Keep","REPLACE"),"")</f>
        <v/>
      </c>
    </row>
    <row r="23">
      <c r="B23" s="10" t="n">
        <v>8</v>
      </c>
      <c r="C23" s="11">
        <f>IF(8&lt;='Crossover Calculator'!$C$6,C22+'Crossover Calculator'!$C$7*(1+'Crossover Calculator'!$C$8)^(8-1),"")</f>
        <v/>
      </c>
      <c r="D23" s="11">
        <f>IF(8&lt;='Crossover Calculator'!$C$6,C23+$C$11*8,"")</f>
        <v/>
      </c>
      <c r="E23" s="12">
        <f>IF(8&lt;='Crossover Calculator'!$C$6,'Crossover Calculator'!$C$13+'Crossover Calculator'!$C$11*8,"")</f>
        <v/>
      </c>
      <c r="F23" s="10">
        <f>IF(8&lt;='Crossover Calculator'!$C$6,IF(D23&lt;=E23,"Keep","REPLACE"),"")</f>
        <v/>
      </c>
    </row>
    <row r="24">
      <c r="B24" s="10" t="n">
        <v>9</v>
      </c>
      <c r="C24" s="11">
        <f>IF(9&lt;='Crossover Calculator'!$C$6,C23+'Crossover Calculator'!$C$7*(1+'Crossover Calculator'!$C$8)^(9-1),"")</f>
        <v/>
      </c>
      <c r="D24" s="11">
        <f>IF(9&lt;='Crossover Calculator'!$C$6,C24+$C$11*9,"")</f>
        <v/>
      </c>
      <c r="E24" s="12">
        <f>IF(9&lt;='Crossover Calculator'!$C$6,'Crossover Calculator'!$C$13+'Crossover Calculator'!$C$11*9,"")</f>
        <v/>
      </c>
      <c r="F24" s="10">
        <f>IF(9&lt;='Crossover Calculator'!$C$6,IF(D24&lt;=E24,"Keep","REPLACE"),"")</f>
        <v/>
      </c>
    </row>
    <row r="25">
      <c r="B25" s="10" t="n">
        <v>10</v>
      </c>
      <c r="C25" s="11">
        <f>IF(10&lt;='Crossover Calculator'!$C$6,C24+'Crossover Calculator'!$C$7*(1+'Crossover Calculator'!$C$8)^(10-1),"")</f>
        <v/>
      </c>
      <c r="D25" s="11">
        <f>IF(10&lt;='Crossover Calculator'!$C$6,C25+$C$11*10,"")</f>
        <v/>
      </c>
      <c r="E25" s="12">
        <f>IF(10&lt;='Crossover Calculator'!$C$6,'Crossover Calculator'!$C$13+'Crossover Calculator'!$C$11*10,"")</f>
        <v/>
      </c>
      <c r="F25" s="10">
        <f>IF(10&lt;='Crossover Calculator'!$C$6,IF(D25&lt;=E25,"Keep","REPLACE"),"")</f>
        <v/>
      </c>
    </row>
    <row r="26">
      <c r="B26" s="10" t="n">
        <v>11</v>
      </c>
      <c r="C26" s="11">
        <f>IF(11&lt;='Crossover Calculator'!$C$6,C25+'Crossover Calculator'!$C$7*(1+'Crossover Calculator'!$C$8)^(11-1),"")</f>
        <v/>
      </c>
      <c r="D26" s="11">
        <f>IF(11&lt;='Crossover Calculator'!$C$6,C26+$C$11*11,"")</f>
        <v/>
      </c>
      <c r="E26" s="12">
        <f>IF(11&lt;='Crossover Calculator'!$C$6,'Crossover Calculator'!$C$13+'Crossover Calculator'!$C$11*11,"")</f>
        <v/>
      </c>
      <c r="F26" s="10">
        <f>IF(11&lt;='Crossover Calculator'!$C$6,IF(D26&lt;=E26,"Keep","REPLACE"),"")</f>
        <v/>
      </c>
    </row>
    <row r="27">
      <c r="B27" s="10" t="n">
        <v>12</v>
      </c>
      <c r="C27" s="11">
        <f>IF(12&lt;='Crossover Calculator'!$C$6,C26+'Crossover Calculator'!$C$7*(1+'Crossover Calculator'!$C$8)^(12-1),"")</f>
        <v/>
      </c>
      <c r="D27" s="11">
        <f>IF(12&lt;='Crossover Calculator'!$C$6,C27+$C$11*12,"")</f>
        <v/>
      </c>
      <c r="E27" s="12">
        <f>IF(12&lt;='Crossover Calculator'!$C$6,'Crossover Calculator'!$C$13+'Crossover Calculator'!$C$11*12,"")</f>
        <v/>
      </c>
      <c r="F27" s="10">
        <f>IF(12&lt;='Crossover Calculator'!$C$6,IF(D27&lt;=E27,"Keep","REPLACE"),"")</f>
        <v/>
      </c>
    </row>
    <row r="28">
      <c r="B28" s="10" t="n">
        <v>13</v>
      </c>
      <c r="C28" s="11">
        <f>IF(13&lt;='Crossover Calculator'!$C$6,C27+'Crossover Calculator'!$C$7*(1+'Crossover Calculator'!$C$8)^(13-1),"")</f>
        <v/>
      </c>
      <c r="D28" s="11">
        <f>IF(13&lt;='Crossover Calculator'!$C$6,C28+$C$11*13,"")</f>
        <v/>
      </c>
      <c r="E28" s="12">
        <f>IF(13&lt;='Crossover Calculator'!$C$6,'Crossover Calculator'!$C$13+'Crossover Calculator'!$C$11*13,"")</f>
        <v/>
      </c>
      <c r="F28" s="10">
        <f>IF(13&lt;='Crossover Calculator'!$C$6,IF(D28&lt;=E28,"Keep","REPLACE"),"")</f>
        <v/>
      </c>
    </row>
    <row r="29">
      <c r="B29" s="10" t="n">
        <v>14</v>
      </c>
      <c r="C29" s="11">
        <f>IF(14&lt;='Crossover Calculator'!$C$6,C28+'Crossover Calculator'!$C$7*(1+'Crossover Calculator'!$C$8)^(14-1),"")</f>
        <v/>
      </c>
      <c r="D29" s="11">
        <f>IF(14&lt;='Crossover Calculator'!$C$6,C29+$C$11*14,"")</f>
        <v/>
      </c>
      <c r="E29" s="12">
        <f>IF(14&lt;='Crossover Calculator'!$C$6,'Crossover Calculator'!$C$13+'Crossover Calculator'!$C$11*14,"")</f>
        <v/>
      </c>
      <c r="F29" s="10">
        <f>IF(14&lt;='Crossover Calculator'!$C$6,IF(D29&lt;=E29,"Keep","REPLACE"),"")</f>
        <v/>
      </c>
    </row>
    <row r="30">
      <c r="B30" s="10" t="n">
        <v>15</v>
      </c>
      <c r="C30" s="11">
        <f>IF(15&lt;='Crossover Calculator'!$C$6,C29+'Crossover Calculator'!$C$7*(1+'Crossover Calculator'!$C$8)^(15-1),"")</f>
        <v/>
      </c>
      <c r="D30" s="11">
        <f>IF(15&lt;='Crossover Calculator'!$C$6,C30+$C$11*15,"")</f>
        <v/>
      </c>
      <c r="E30" s="12">
        <f>IF(15&lt;='Crossover Calculator'!$C$6,'Crossover Calculator'!$C$13+'Crossover Calculator'!$C$11*15,"")</f>
        <v/>
      </c>
      <c r="F30" s="10">
        <f>IF(15&lt;='Crossover Calculator'!$C$6,IF(D30&lt;=E30,"Keep","REPLACE"),"")</f>
        <v/>
      </c>
    </row>
    <row r="32">
      <c r="B32" s="3" t="inlineStr">
        <is>
          <t>Crossover year WITH hidden tax</t>
        </is>
      </c>
      <c r="C32" s="14">
        <f>IFERROR(MATCH("REPLACE",F16:F30,0),"beyond horizon")</f>
        <v/>
      </c>
    </row>
    <row r="33">
      <c r="B33" s="3" t="inlineStr">
        <is>
          <t>Crossover year WITHOUT hidden tax (from Calculator)</t>
        </is>
      </c>
      <c r="C33" s="15">
        <f>'Crossover Calculator'!C33</f>
        <v/>
      </c>
    </row>
    <row r="34">
      <c r="B34" s="2" t="inlineStr">
        <is>
          <t>The hidden tax almost always pulls the crossover earlier. That gap is the cost of pretending keeping is free.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2">
      <c r="B2" s="1" t="inlineStr">
        <is>
          <t>Sensitivity: maintenance growth rate</t>
        </is>
      </c>
    </row>
    <row r="3">
      <c r="B3" s="2" t="inlineStr">
        <is>
          <t>The growth rate is the number you are least sure of. This sweeps it and shows how the crossover year moves.</t>
        </is>
      </c>
    </row>
    <row r="5">
      <c r="B5" s="9" t="inlineStr">
        <is>
          <t>Growth rate</t>
        </is>
      </c>
      <c r="C5" s="9" t="inlineStr">
        <is>
          <t>Crossover year</t>
        </is>
      </c>
      <c r="D5" s="9" t="inlineStr">
        <is>
          <t>Read</t>
        </is>
      </c>
      <c r="H5" s="16" t="inlineStr">
        <is>
          <t>y1</t>
        </is>
      </c>
      <c r="I5" s="16" t="inlineStr">
        <is>
          <t>y2</t>
        </is>
      </c>
      <c r="J5" s="16" t="inlineStr">
        <is>
          <t>y3</t>
        </is>
      </c>
      <c r="K5" s="16" t="inlineStr">
        <is>
          <t>y4</t>
        </is>
      </c>
      <c r="L5" s="16" t="inlineStr">
        <is>
          <t>y5</t>
        </is>
      </c>
      <c r="M5" s="16" t="inlineStr">
        <is>
          <t>y6</t>
        </is>
      </c>
      <c r="N5" s="16" t="inlineStr">
        <is>
          <t>y7</t>
        </is>
      </c>
      <c r="O5" s="16" t="inlineStr">
        <is>
          <t>y8</t>
        </is>
      </c>
      <c r="P5" s="16" t="inlineStr">
        <is>
          <t>y9</t>
        </is>
      </c>
      <c r="Q5" s="16" t="inlineStr">
        <is>
          <t>y10</t>
        </is>
      </c>
      <c r="R5" s="16" t="inlineStr">
        <is>
          <t>y11</t>
        </is>
      </c>
      <c r="S5" s="16" t="inlineStr">
        <is>
          <t>y12</t>
        </is>
      </c>
      <c r="T5" s="16" t="inlineStr">
        <is>
          <t>y13</t>
        </is>
      </c>
      <c r="U5" s="16" t="inlineStr">
        <is>
          <t>y14</t>
        </is>
      </c>
      <c r="V5" s="16" t="inlineStr">
        <is>
          <t>y15</t>
        </is>
      </c>
    </row>
    <row r="6">
      <c r="B6" s="17" t="n">
        <v>0.05</v>
      </c>
      <c r="C6" s="18">
        <f>IF(COUNTIF(H6:V6,"&lt;=0")=15,"beyond 15y",COUNTIF(H6:V6,"&lt;=0")+1)</f>
        <v/>
      </c>
      <c r="D6" s="2">
        <f>IF(ISNUMBER(C6),"Migrate by year "&amp;C6,"holds past 15y")</f>
        <v/>
      </c>
      <c r="H6" s="19">
        <f>'Crossover Calculator'!$C$7*((1+B6)^1-1)/B6-('Crossover Calculator'!$C$13+'Crossover Calculator'!$C$11*1)</f>
        <v/>
      </c>
      <c r="I6" s="19">
        <f>'Crossover Calculator'!$C$7*((1+B6)^2-1)/B6-('Crossover Calculator'!$C$13+'Crossover Calculator'!$C$11*2)</f>
        <v/>
      </c>
      <c r="J6" s="19">
        <f>'Crossover Calculator'!$C$7*((1+B6)^3-1)/B6-('Crossover Calculator'!$C$13+'Crossover Calculator'!$C$11*3)</f>
        <v/>
      </c>
      <c r="K6" s="19">
        <f>'Crossover Calculator'!$C$7*((1+B6)^4-1)/B6-('Crossover Calculator'!$C$13+'Crossover Calculator'!$C$11*4)</f>
        <v/>
      </c>
      <c r="L6" s="19">
        <f>'Crossover Calculator'!$C$7*((1+B6)^5-1)/B6-('Crossover Calculator'!$C$13+'Crossover Calculator'!$C$11*5)</f>
        <v/>
      </c>
      <c r="M6" s="19">
        <f>'Crossover Calculator'!$C$7*((1+B6)^6-1)/B6-('Crossover Calculator'!$C$13+'Crossover Calculator'!$C$11*6)</f>
        <v/>
      </c>
      <c r="N6" s="19">
        <f>'Crossover Calculator'!$C$7*((1+B6)^7-1)/B6-('Crossover Calculator'!$C$13+'Crossover Calculator'!$C$11*7)</f>
        <v/>
      </c>
      <c r="O6" s="19">
        <f>'Crossover Calculator'!$C$7*((1+B6)^8-1)/B6-('Crossover Calculator'!$C$13+'Crossover Calculator'!$C$11*8)</f>
        <v/>
      </c>
      <c r="P6" s="19">
        <f>'Crossover Calculator'!$C$7*((1+B6)^9-1)/B6-('Crossover Calculator'!$C$13+'Crossover Calculator'!$C$11*9)</f>
        <v/>
      </c>
      <c r="Q6" s="19">
        <f>'Crossover Calculator'!$C$7*((1+B6)^10-1)/B6-('Crossover Calculator'!$C$13+'Crossover Calculator'!$C$11*10)</f>
        <v/>
      </c>
      <c r="R6" s="19">
        <f>'Crossover Calculator'!$C$7*((1+B6)^11-1)/B6-('Crossover Calculator'!$C$13+'Crossover Calculator'!$C$11*11)</f>
        <v/>
      </c>
      <c r="S6" s="19">
        <f>'Crossover Calculator'!$C$7*((1+B6)^12-1)/B6-('Crossover Calculator'!$C$13+'Crossover Calculator'!$C$11*12)</f>
        <v/>
      </c>
      <c r="T6" s="19">
        <f>'Crossover Calculator'!$C$7*((1+B6)^13-1)/B6-('Crossover Calculator'!$C$13+'Crossover Calculator'!$C$11*13)</f>
        <v/>
      </c>
      <c r="U6" s="19">
        <f>'Crossover Calculator'!$C$7*((1+B6)^14-1)/B6-('Crossover Calculator'!$C$13+'Crossover Calculator'!$C$11*14)</f>
        <v/>
      </c>
      <c r="V6" s="19">
        <f>'Crossover Calculator'!$C$7*((1+B6)^15-1)/B6-('Crossover Calculator'!$C$13+'Crossover Calculator'!$C$11*15)</f>
        <v/>
      </c>
    </row>
    <row r="7">
      <c r="B7" s="17" t="n">
        <v>0.1</v>
      </c>
      <c r="C7" s="18">
        <f>IF(COUNTIF(H7:V7,"&lt;=0")=15,"beyond 15y",COUNTIF(H7:V7,"&lt;=0")+1)</f>
        <v/>
      </c>
      <c r="D7" s="2">
        <f>IF(ISNUMBER(C7),"Migrate by year "&amp;C7,"holds past 15y")</f>
        <v/>
      </c>
      <c r="H7" s="19">
        <f>'Crossover Calculator'!$C$7*((1+B7)^1-1)/B7-('Crossover Calculator'!$C$13+'Crossover Calculator'!$C$11*1)</f>
        <v/>
      </c>
      <c r="I7" s="19">
        <f>'Crossover Calculator'!$C$7*((1+B7)^2-1)/B7-('Crossover Calculator'!$C$13+'Crossover Calculator'!$C$11*2)</f>
        <v/>
      </c>
      <c r="J7" s="19">
        <f>'Crossover Calculator'!$C$7*((1+B7)^3-1)/B7-('Crossover Calculator'!$C$13+'Crossover Calculator'!$C$11*3)</f>
        <v/>
      </c>
      <c r="K7" s="19">
        <f>'Crossover Calculator'!$C$7*((1+B7)^4-1)/B7-('Crossover Calculator'!$C$13+'Crossover Calculator'!$C$11*4)</f>
        <v/>
      </c>
      <c r="L7" s="19">
        <f>'Crossover Calculator'!$C$7*((1+B7)^5-1)/B7-('Crossover Calculator'!$C$13+'Crossover Calculator'!$C$11*5)</f>
        <v/>
      </c>
      <c r="M7" s="19">
        <f>'Crossover Calculator'!$C$7*((1+B7)^6-1)/B7-('Crossover Calculator'!$C$13+'Crossover Calculator'!$C$11*6)</f>
        <v/>
      </c>
      <c r="N7" s="19">
        <f>'Crossover Calculator'!$C$7*((1+B7)^7-1)/B7-('Crossover Calculator'!$C$13+'Crossover Calculator'!$C$11*7)</f>
        <v/>
      </c>
      <c r="O7" s="19">
        <f>'Crossover Calculator'!$C$7*((1+B7)^8-1)/B7-('Crossover Calculator'!$C$13+'Crossover Calculator'!$C$11*8)</f>
        <v/>
      </c>
      <c r="P7" s="19">
        <f>'Crossover Calculator'!$C$7*((1+B7)^9-1)/B7-('Crossover Calculator'!$C$13+'Crossover Calculator'!$C$11*9)</f>
        <v/>
      </c>
      <c r="Q7" s="19">
        <f>'Crossover Calculator'!$C$7*((1+B7)^10-1)/B7-('Crossover Calculator'!$C$13+'Crossover Calculator'!$C$11*10)</f>
        <v/>
      </c>
      <c r="R7" s="19">
        <f>'Crossover Calculator'!$C$7*((1+B7)^11-1)/B7-('Crossover Calculator'!$C$13+'Crossover Calculator'!$C$11*11)</f>
        <v/>
      </c>
      <c r="S7" s="19">
        <f>'Crossover Calculator'!$C$7*((1+B7)^12-1)/B7-('Crossover Calculator'!$C$13+'Crossover Calculator'!$C$11*12)</f>
        <v/>
      </c>
      <c r="T7" s="19">
        <f>'Crossover Calculator'!$C$7*((1+B7)^13-1)/B7-('Crossover Calculator'!$C$13+'Crossover Calculator'!$C$11*13)</f>
        <v/>
      </c>
      <c r="U7" s="19">
        <f>'Crossover Calculator'!$C$7*((1+B7)^14-1)/B7-('Crossover Calculator'!$C$13+'Crossover Calculator'!$C$11*14)</f>
        <v/>
      </c>
      <c r="V7" s="19">
        <f>'Crossover Calculator'!$C$7*((1+B7)^15-1)/B7-('Crossover Calculator'!$C$13+'Crossover Calculator'!$C$11*15)</f>
        <v/>
      </c>
    </row>
    <row r="8">
      <c r="B8" s="17" t="n">
        <v>0.15</v>
      </c>
      <c r="C8" s="18">
        <f>IF(COUNTIF(H8:V8,"&lt;=0")=15,"beyond 15y",COUNTIF(H8:V8,"&lt;=0")+1)</f>
        <v/>
      </c>
      <c r="D8" s="2">
        <f>IF(ISNUMBER(C8),"Migrate by year "&amp;C8,"holds past 15y")</f>
        <v/>
      </c>
      <c r="H8" s="19">
        <f>'Crossover Calculator'!$C$7*((1+B8)^1-1)/B8-('Crossover Calculator'!$C$13+'Crossover Calculator'!$C$11*1)</f>
        <v/>
      </c>
      <c r="I8" s="19">
        <f>'Crossover Calculator'!$C$7*((1+B8)^2-1)/B8-('Crossover Calculator'!$C$13+'Crossover Calculator'!$C$11*2)</f>
        <v/>
      </c>
      <c r="J8" s="19">
        <f>'Crossover Calculator'!$C$7*((1+B8)^3-1)/B8-('Crossover Calculator'!$C$13+'Crossover Calculator'!$C$11*3)</f>
        <v/>
      </c>
      <c r="K8" s="19">
        <f>'Crossover Calculator'!$C$7*((1+B8)^4-1)/B8-('Crossover Calculator'!$C$13+'Crossover Calculator'!$C$11*4)</f>
        <v/>
      </c>
      <c r="L8" s="19">
        <f>'Crossover Calculator'!$C$7*((1+B8)^5-1)/B8-('Crossover Calculator'!$C$13+'Crossover Calculator'!$C$11*5)</f>
        <v/>
      </c>
      <c r="M8" s="19">
        <f>'Crossover Calculator'!$C$7*((1+B8)^6-1)/B8-('Crossover Calculator'!$C$13+'Crossover Calculator'!$C$11*6)</f>
        <v/>
      </c>
      <c r="N8" s="19">
        <f>'Crossover Calculator'!$C$7*((1+B8)^7-1)/B8-('Crossover Calculator'!$C$13+'Crossover Calculator'!$C$11*7)</f>
        <v/>
      </c>
      <c r="O8" s="19">
        <f>'Crossover Calculator'!$C$7*((1+B8)^8-1)/B8-('Crossover Calculator'!$C$13+'Crossover Calculator'!$C$11*8)</f>
        <v/>
      </c>
      <c r="P8" s="19">
        <f>'Crossover Calculator'!$C$7*((1+B8)^9-1)/B8-('Crossover Calculator'!$C$13+'Crossover Calculator'!$C$11*9)</f>
        <v/>
      </c>
      <c r="Q8" s="19">
        <f>'Crossover Calculator'!$C$7*((1+B8)^10-1)/B8-('Crossover Calculator'!$C$13+'Crossover Calculator'!$C$11*10)</f>
        <v/>
      </c>
      <c r="R8" s="19">
        <f>'Crossover Calculator'!$C$7*((1+B8)^11-1)/B8-('Crossover Calculator'!$C$13+'Crossover Calculator'!$C$11*11)</f>
        <v/>
      </c>
      <c r="S8" s="19">
        <f>'Crossover Calculator'!$C$7*((1+B8)^12-1)/B8-('Crossover Calculator'!$C$13+'Crossover Calculator'!$C$11*12)</f>
        <v/>
      </c>
      <c r="T8" s="19">
        <f>'Crossover Calculator'!$C$7*((1+B8)^13-1)/B8-('Crossover Calculator'!$C$13+'Crossover Calculator'!$C$11*13)</f>
        <v/>
      </c>
      <c r="U8" s="19">
        <f>'Crossover Calculator'!$C$7*((1+B8)^14-1)/B8-('Crossover Calculator'!$C$13+'Crossover Calculator'!$C$11*14)</f>
        <v/>
      </c>
      <c r="V8" s="19">
        <f>'Crossover Calculator'!$C$7*((1+B8)^15-1)/B8-('Crossover Calculator'!$C$13+'Crossover Calculator'!$C$11*15)</f>
        <v/>
      </c>
    </row>
    <row r="9">
      <c r="B9" s="17" t="n">
        <v>0.2</v>
      </c>
      <c r="C9" s="18">
        <f>IF(COUNTIF(H9:V9,"&lt;=0")=15,"beyond 15y",COUNTIF(H9:V9,"&lt;=0")+1)</f>
        <v/>
      </c>
      <c r="D9" s="2">
        <f>IF(ISNUMBER(C9),"Migrate by year "&amp;C9,"holds past 15y")</f>
        <v/>
      </c>
      <c r="H9" s="19">
        <f>'Crossover Calculator'!$C$7*((1+B9)^1-1)/B9-('Crossover Calculator'!$C$13+'Crossover Calculator'!$C$11*1)</f>
        <v/>
      </c>
      <c r="I9" s="19">
        <f>'Crossover Calculator'!$C$7*((1+B9)^2-1)/B9-('Crossover Calculator'!$C$13+'Crossover Calculator'!$C$11*2)</f>
        <v/>
      </c>
      <c r="J9" s="19">
        <f>'Crossover Calculator'!$C$7*((1+B9)^3-1)/B9-('Crossover Calculator'!$C$13+'Crossover Calculator'!$C$11*3)</f>
        <v/>
      </c>
      <c r="K9" s="19">
        <f>'Crossover Calculator'!$C$7*((1+B9)^4-1)/B9-('Crossover Calculator'!$C$13+'Crossover Calculator'!$C$11*4)</f>
        <v/>
      </c>
      <c r="L9" s="19">
        <f>'Crossover Calculator'!$C$7*((1+B9)^5-1)/B9-('Crossover Calculator'!$C$13+'Crossover Calculator'!$C$11*5)</f>
        <v/>
      </c>
      <c r="M9" s="19">
        <f>'Crossover Calculator'!$C$7*((1+B9)^6-1)/B9-('Crossover Calculator'!$C$13+'Crossover Calculator'!$C$11*6)</f>
        <v/>
      </c>
      <c r="N9" s="19">
        <f>'Crossover Calculator'!$C$7*((1+B9)^7-1)/B9-('Crossover Calculator'!$C$13+'Crossover Calculator'!$C$11*7)</f>
        <v/>
      </c>
      <c r="O9" s="19">
        <f>'Crossover Calculator'!$C$7*((1+B9)^8-1)/B9-('Crossover Calculator'!$C$13+'Crossover Calculator'!$C$11*8)</f>
        <v/>
      </c>
      <c r="P9" s="19">
        <f>'Crossover Calculator'!$C$7*((1+B9)^9-1)/B9-('Crossover Calculator'!$C$13+'Crossover Calculator'!$C$11*9)</f>
        <v/>
      </c>
      <c r="Q9" s="19">
        <f>'Crossover Calculator'!$C$7*((1+B9)^10-1)/B9-('Crossover Calculator'!$C$13+'Crossover Calculator'!$C$11*10)</f>
        <v/>
      </c>
      <c r="R9" s="19">
        <f>'Crossover Calculator'!$C$7*((1+B9)^11-1)/B9-('Crossover Calculator'!$C$13+'Crossover Calculator'!$C$11*11)</f>
        <v/>
      </c>
      <c r="S9" s="19">
        <f>'Crossover Calculator'!$C$7*((1+B9)^12-1)/B9-('Crossover Calculator'!$C$13+'Crossover Calculator'!$C$11*12)</f>
        <v/>
      </c>
      <c r="T9" s="19">
        <f>'Crossover Calculator'!$C$7*((1+B9)^13-1)/B9-('Crossover Calculator'!$C$13+'Crossover Calculator'!$C$11*13)</f>
        <v/>
      </c>
      <c r="U9" s="19">
        <f>'Crossover Calculator'!$C$7*((1+B9)^14-1)/B9-('Crossover Calculator'!$C$13+'Crossover Calculator'!$C$11*14)</f>
        <v/>
      </c>
      <c r="V9" s="19">
        <f>'Crossover Calculator'!$C$7*((1+B9)^15-1)/B9-('Crossover Calculator'!$C$13+'Crossover Calculator'!$C$11*15)</f>
        <v/>
      </c>
    </row>
    <row r="10">
      <c r="B10" s="17" t="n">
        <v>0.25</v>
      </c>
      <c r="C10" s="18">
        <f>IF(COUNTIF(H10:V10,"&lt;=0")=15,"beyond 15y",COUNTIF(H10:V10,"&lt;=0")+1)</f>
        <v/>
      </c>
      <c r="D10" s="2">
        <f>IF(ISNUMBER(C10),"Migrate by year "&amp;C10,"holds past 15y")</f>
        <v/>
      </c>
      <c r="H10" s="19">
        <f>'Crossover Calculator'!$C$7*((1+B10)^1-1)/B10-('Crossover Calculator'!$C$13+'Crossover Calculator'!$C$11*1)</f>
        <v/>
      </c>
      <c r="I10" s="19">
        <f>'Crossover Calculator'!$C$7*((1+B10)^2-1)/B10-('Crossover Calculator'!$C$13+'Crossover Calculator'!$C$11*2)</f>
        <v/>
      </c>
      <c r="J10" s="19">
        <f>'Crossover Calculator'!$C$7*((1+B10)^3-1)/B10-('Crossover Calculator'!$C$13+'Crossover Calculator'!$C$11*3)</f>
        <v/>
      </c>
      <c r="K10" s="19">
        <f>'Crossover Calculator'!$C$7*((1+B10)^4-1)/B10-('Crossover Calculator'!$C$13+'Crossover Calculator'!$C$11*4)</f>
        <v/>
      </c>
      <c r="L10" s="19">
        <f>'Crossover Calculator'!$C$7*((1+B10)^5-1)/B10-('Crossover Calculator'!$C$13+'Crossover Calculator'!$C$11*5)</f>
        <v/>
      </c>
      <c r="M10" s="19">
        <f>'Crossover Calculator'!$C$7*((1+B10)^6-1)/B10-('Crossover Calculator'!$C$13+'Crossover Calculator'!$C$11*6)</f>
        <v/>
      </c>
      <c r="N10" s="19">
        <f>'Crossover Calculator'!$C$7*((1+B10)^7-1)/B10-('Crossover Calculator'!$C$13+'Crossover Calculator'!$C$11*7)</f>
        <v/>
      </c>
      <c r="O10" s="19">
        <f>'Crossover Calculator'!$C$7*((1+B10)^8-1)/B10-('Crossover Calculator'!$C$13+'Crossover Calculator'!$C$11*8)</f>
        <v/>
      </c>
      <c r="P10" s="19">
        <f>'Crossover Calculator'!$C$7*((1+B10)^9-1)/B10-('Crossover Calculator'!$C$13+'Crossover Calculator'!$C$11*9)</f>
        <v/>
      </c>
      <c r="Q10" s="19">
        <f>'Crossover Calculator'!$C$7*((1+B10)^10-1)/B10-('Crossover Calculator'!$C$13+'Crossover Calculator'!$C$11*10)</f>
        <v/>
      </c>
      <c r="R10" s="19">
        <f>'Crossover Calculator'!$C$7*((1+B10)^11-1)/B10-('Crossover Calculator'!$C$13+'Crossover Calculator'!$C$11*11)</f>
        <v/>
      </c>
      <c r="S10" s="19">
        <f>'Crossover Calculator'!$C$7*((1+B10)^12-1)/B10-('Crossover Calculator'!$C$13+'Crossover Calculator'!$C$11*12)</f>
        <v/>
      </c>
      <c r="T10" s="19">
        <f>'Crossover Calculator'!$C$7*((1+B10)^13-1)/B10-('Crossover Calculator'!$C$13+'Crossover Calculator'!$C$11*13)</f>
        <v/>
      </c>
      <c r="U10" s="19">
        <f>'Crossover Calculator'!$C$7*((1+B10)^14-1)/B10-('Crossover Calculator'!$C$13+'Crossover Calculator'!$C$11*14)</f>
        <v/>
      </c>
      <c r="V10" s="19">
        <f>'Crossover Calculator'!$C$7*((1+B10)^15-1)/B10-('Crossover Calculator'!$C$13+'Crossover Calculator'!$C$11*15)</f>
        <v/>
      </c>
    </row>
    <row r="11">
      <c r="B11" s="17" t="n">
        <v>0.3</v>
      </c>
      <c r="C11" s="18">
        <f>IF(COUNTIF(H11:V11,"&lt;=0")=15,"beyond 15y",COUNTIF(H11:V11,"&lt;=0")+1)</f>
        <v/>
      </c>
      <c r="D11" s="2">
        <f>IF(ISNUMBER(C11),"Migrate by year "&amp;C11,"holds past 15y")</f>
        <v/>
      </c>
      <c r="H11" s="19">
        <f>'Crossover Calculator'!$C$7*((1+B11)^1-1)/B11-('Crossover Calculator'!$C$13+'Crossover Calculator'!$C$11*1)</f>
        <v/>
      </c>
      <c r="I11" s="19">
        <f>'Crossover Calculator'!$C$7*((1+B11)^2-1)/B11-('Crossover Calculator'!$C$13+'Crossover Calculator'!$C$11*2)</f>
        <v/>
      </c>
      <c r="J11" s="19">
        <f>'Crossover Calculator'!$C$7*((1+B11)^3-1)/B11-('Crossover Calculator'!$C$13+'Crossover Calculator'!$C$11*3)</f>
        <v/>
      </c>
      <c r="K11" s="19">
        <f>'Crossover Calculator'!$C$7*((1+B11)^4-1)/B11-('Crossover Calculator'!$C$13+'Crossover Calculator'!$C$11*4)</f>
        <v/>
      </c>
      <c r="L11" s="19">
        <f>'Crossover Calculator'!$C$7*((1+B11)^5-1)/B11-('Crossover Calculator'!$C$13+'Crossover Calculator'!$C$11*5)</f>
        <v/>
      </c>
      <c r="M11" s="19">
        <f>'Crossover Calculator'!$C$7*((1+B11)^6-1)/B11-('Crossover Calculator'!$C$13+'Crossover Calculator'!$C$11*6)</f>
        <v/>
      </c>
      <c r="N11" s="19">
        <f>'Crossover Calculator'!$C$7*((1+B11)^7-1)/B11-('Crossover Calculator'!$C$13+'Crossover Calculator'!$C$11*7)</f>
        <v/>
      </c>
      <c r="O11" s="19">
        <f>'Crossover Calculator'!$C$7*((1+B11)^8-1)/B11-('Crossover Calculator'!$C$13+'Crossover Calculator'!$C$11*8)</f>
        <v/>
      </c>
      <c r="P11" s="19">
        <f>'Crossover Calculator'!$C$7*((1+B11)^9-1)/B11-('Crossover Calculator'!$C$13+'Crossover Calculator'!$C$11*9)</f>
        <v/>
      </c>
      <c r="Q11" s="19">
        <f>'Crossover Calculator'!$C$7*((1+B11)^10-1)/B11-('Crossover Calculator'!$C$13+'Crossover Calculator'!$C$11*10)</f>
        <v/>
      </c>
      <c r="R11" s="19">
        <f>'Crossover Calculator'!$C$7*((1+B11)^11-1)/B11-('Crossover Calculator'!$C$13+'Crossover Calculator'!$C$11*11)</f>
        <v/>
      </c>
      <c r="S11" s="19">
        <f>'Crossover Calculator'!$C$7*((1+B11)^12-1)/B11-('Crossover Calculator'!$C$13+'Crossover Calculator'!$C$11*12)</f>
        <v/>
      </c>
      <c r="T11" s="19">
        <f>'Crossover Calculator'!$C$7*((1+B11)^13-1)/B11-('Crossover Calculator'!$C$13+'Crossover Calculator'!$C$11*13)</f>
        <v/>
      </c>
      <c r="U11" s="19">
        <f>'Crossover Calculator'!$C$7*((1+B11)^14-1)/B11-('Crossover Calculator'!$C$13+'Crossover Calculator'!$C$11*14)</f>
        <v/>
      </c>
      <c r="V11" s="19">
        <f>'Crossover Calculator'!$C$7*((1+B11)^15-1)/B11-('Crossover Calculator'!$C$13+'Crossover Calculator'!$C$11*15)</f>
        <v/>
      </c>
    </row>
    <row r="12">
      <c r="B12" s="17" t="n">
        <v>0.4</v>
      </c>
      <c r="C12" s="18">
        <f>IF(COUNTIF(H12:V12,"&lt;=0")=15,"beyond 15y",COUNTIF(H12:V12,"&lt;=0")+1)</f>
        <v/>
      </c>
      <c r="D12" s="2">
        <f>IF(ISNUMBER(C12),"Migrate by year "&amp;C12,"holds past 15y")</f>
        <v/>
      </c>
      <c r="H12" s="19">
        <f>'Crossover Calculator'!$C$7*((1+B12)^1-1)/B12-('Crossover Calculator'!$C$13+'Crossover Calculator'!$C$11*1)</f>
        <v/>
      </c>
      <c r="I12" s="19">
        <f>'Crossover Calculator'!$C$7*((1+B12)^2-1)/B12-('Crossover Calculator'!$C$13+'Crossover Calculator'!$C$11*2)</f>
        <v/>
      </c>
      <c r="J12" s="19">
        <f>'Crossover Calculator'!$C$7*((1+B12)^3-1)/B12-('Crossover Calculator'!$C$13+'Crossover Calculator'!$C$11*3)</f>
        <v/>
      </c>
      <c r="K12" s="19">
        <f>'Crossover Calculator'!$C$7*((1+B12)^4-1)/B12-('Crossover Calculator'!$C$13+'Crossover Calculator'!$C$11*4)</f>
        <v/>
      </c>
      <c r="L12" s="19">
        <f>'Crossover Calculator'!$C$7*((1+B12)^5-1)/B12-('Crossover Calculator'!$C$13+'Crossover Calculator'!$C$11*5)</f>
        <v/>
      </c>
      <c r="M12" s="19">
        <f>'Crossover Calculator'!$C$7*((1+B12)^6-1)/B12-('Crossover Calculator'!$C$13+'Crossover Calculator'!$C$11*6)</f>
        <v/>
      </c>
      <c r="N12" s="19">
        <f>'Crossover Calculator'!$C$7*((1+B12)^7-1)/B12-('Crossover Calculator'!$C$13+'Crossover Calculator'!$C$11*7)</f>
        <v/>
      </c>
      <c r="O12" s="19">
        <f>'Crossover Calculator'!$C$7*((1+B12)^8-1)/B12-('Crossover Calculator'!$C$13+'Crossover Calculator'!$C$11*8)</f>
        <v/>
      </c>
      <c r="P12" s="19">
        <f>'Crossover Calculator'!$C$7*((1+B12)^9-1)/B12-('Crossover Calculator'!$C$13+'Crossover Calculator'!$C$11*9)</f>
        <v/>
      </c>
      <c r="Q12" s="19">
        <f>'Crossover Calculator'!$C$7*((1+B12)^10-1)/B12-('Crossover Calculator'!$C$13+'Crossover Calculator'!$C$11*10)</f>
        <v/>
      </c>
      <c r="R12" s="19">
        <f>'Crossover Calculator'!$C$7*((1+B12)^11-1)/B12-('Crossover Calculator'!$C$13+'Crossover Calculator'!$C$11*11)</f>
        <v/>
      </c>
      <c r="S12" s="19">
        <f>'Crossover Calculator'!$C$7*((1+B12)^12-1)/B12-('Crossover Calculator'!$C$13+'Crossover Calculator'!$C$11*12)</f>
        <v/>
      </c>
      <c r="T12" s="19">
        <f>'Crossover Calculator'!$C$7*((1+B12)^13-1)/B12-('Crossover Calculator'!$C$13+'Crossover Calculator'!$C$11*13)</f>
        <v/>
      </c>
      <c r="U12" s="19">
        <f>'Crossover Calculator'!$C$7*((1+B12)^14-1)/B12-('Crossover Calculator'!$C$13+'Crossover Calculator'!$C$11*14)</f>
        <v/>
      </c>
      <c r="V12" s="19">
        <f>'Crossover Calculator'!$C$7*((1+B12)^15-1)/B12-('Crossover Calculator'!$C$13+'Crossover Calculator'!$C$11*15)</f>
        <v/>
      </c>
    </row>
    <row r="14">
      <c r="B14" s="2" t="inlineStr">
        <is>
          <t>Columns H-V are a helper grid (keep cumulative minus replace cumulative, years 1-15). Leave them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2026-10-12T15:02:27Z</dcterms:created>
  <dcterms:modified xmlns:dcterms="http://purl.org/dc/terms/" xmlns:xsi="http://www.w3.org/2001/XMLSchema-instance" xsi:type="dcterms:W3CDTF">2026-10-12T15:02:27Z</dcterms:modified>
</cp:coreProperties>
</file>