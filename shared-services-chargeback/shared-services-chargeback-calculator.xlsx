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hargeback Allocator" sheetId="2" state="visible" r:id="rId2"/>
    <sheet xmlns:r="http://schemas.openxmlformats.org/officeDocument/2006/relationships" name="Cross-AZ Example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57606A"/>
      <sz val="10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FF4CE"/>
      </patternFill>
    </fill>
    <fill>
      <patternFill patternType="solid">
        <fgColor rgb="0024292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164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2" borderId="1" pivotButton="0" quotePrefix="0" xfId="0"/>
    <xf numFmtId="165" fontId="0" fillId="0" borderId="1" pivotButton="0" quotePrefix="0" xfId="0"/>
    <xf numFmtId="164" fontId="0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166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Shared-Services Chargeback Allocator</t>
        </is>
      </c>
    </row>
    <row r="3">
      <c r="B3" s="2" t="inlineStr">
        <is>
          <t>Companion to "Cloud Cost Allocation as Architecture: Your Bill Is an X-Ray" (Engineering Economics, Part 4)</t>
        </is>
      </c>
    </row>
    <row r="4">
      <c r="B4" t="inlineStr"/>
    </row>
    <row r="5">
      <c r="B5" s="3" t="inlineStr">
        <is>
          <t>What this answers</t>
        </is>
      </c>
    </row>
    <row r="6">
      <c r="B6" t="inlineStr">
        <is>
          <t>Somebody has to pay for the shared Kafka cluster. How you split it (equally, by usage, or absorb it</t>
        </is>
      </c>
    </row>
    <row r="7">
      <c r="B7" t="inlineStr">
        <is>
          <t>centrally) changes how teams behave. This tool shows each team's bill under all three methods side by</t>
        </is>
      </c>
    </row>
    <row r="8">
      <c r="B8" t="inlineStr">
        <is>
          <t>side, and the cross-subsidy that 'split equally' quietly creates: how much the light users overpay to</t>
        </is>
      </c>
    </row>
    <row r="9">
      <c r="B9" t="inlineStr">
        <is>
          <t>cover the heavy ones.</t>
        </is>
      </c>
    </row>
    <row r="10">
      <c r="B10" t="inlineStr"/>
    </row>
    <row r="11">
      <c r="B11" s="3" t="inlineStr">
        <is>
          <t>The three methods (from the article)</t>
        </is>
      </c>
    </row>
    <row r="12">
      <c r="B12" t="inlineStr">
        <is>
          <t>- Split equally:   divide by number of teams. Simple, predictable, wrong incentive. Light users subsidize</t>
        </is>
      </c>
    </row>
    <row r="13">
      <c r="B13" t="inlineStr">
        <is>
          <t xml:space="preserve">    heavy users and nobody has a reason to change.</t>
        </is>
      </c>
    </row>
    <row r="14">
      <c r="B14" t="inlineStr">
        <is>
          <t>- Split by usage:  meter consumption, charge proportionally. Harder to build, best incentive. The cost of</t>
        </is>
      </c>
    </row>
    <row r="15">
      <c r="B15" t="inlineStr">
        <is>
          <t xml:space="preserve">    a design choice lands on the team that made it.</t>
        </is>
      </c>
    </row>
    <row r="16">
      <c r="B16" t="inlineStr">
        <is>
          <t>- Absorb centrally: platform team eats it, nobody is charged. Cleanest for consumers, worst for</t>
        </is>
      </c>
    </row>
    <row r="17">
      <c r="B17" t="inlineStr">
        <is>
          <t xml:space="preserve">    accountability. Free at point of use gets used wastefully.</t>
        </is>
      </c>
    </row>
    <row r="18">
      <c r="B18" t="inlineStr"/>
    </row>
    <row r="19">
      <c r="B19" s="3" t="inlineStr">
        <is>
          <t>The three tabs</t>
        </is>
      </c>
    </row>
    <row r="20">
      <c r="B20" t="inlineStr">
        <is>
          <t>1. Chargeback Allocator - enter the shared cost and each team's usage; see all three methods and the</t>
        </is>
      </c>
    </row>
    <row r="21">
      <c r="B21" t="inlineStr">
        <is>
          <t xml:space="preserve">    cross-subsidy. The main tab.</t>
        </is>
      </c>
    </row>
    <row r="22">
      <c r="B22" t="inlineStr">
        <is>
          <t>2. Cross-AZ Example - the article's worked data-transfer example: how a topology choice becomes a</t>
        </is>
      </c>
    </row>
    <row r="23">
      <c r="B23" t="inlineStr">
        <is>
          <t xml:space="preserve">    recurring bill, and what fixing it saves.</t>
        </is>
      </c>
    </row>
    <row r="24">
      <c r="B24" t="inlineStr">
        <is>
          <t>3. Sensitivity - how the cross-subsidy grows as usage skew increases (even usage vs. one dominant team).</t>
        </is>
      </c>
    </row>
    <row r="25">
      <c r="B25" t="inlineStr"/>
    </row>
    <row r="26">
      <c r="B26" s="3" t="inlineStr">
        <is>
          <t>How to use it</t>
        </is>
      </c>
    </row>
    <row r="27">
      <c r="B27" t="inlineStr">
        <is>
          <t>Edit only the shaded blue cells. On the Allocator tab, set the total shared cost, the untaggable %, and</t>
        </is>
      </c>
    </row>
    <row r="28">
      <c r="B28" t="inlineStr">
        <is>
          <t>each team's usage weight (any unit: messages, GB logged, queries). The methods compute automatically.</t>
        </is>
      </c>
    </row>
    <row r="29">
      <c r="B29" t="inlineStr"/>
    </row>
    <row r="30">
      <c r="B30" s="3" t="inlineStr">
        <is>
          <t>The honest limits (from the article)</t>
        </is>
      </c>
    </row>
    <row r="31">
      <c r="B31" t="inlineStr">
        <is>
          <t>- Precise allocation has a cost. Don't build per-tenant metering for a $200/mo service. Usage-based</t>
        </is>
      </c>
    </row>
    <row r="32">
      <c r="B32" t="inlineStr">
        <is>
          <t xml:space="preserve">    allocation earns its keep when the shared service is expensive and the teams are many.</t>
        </is>
      </c>
    </row>
    <row r="33">
      <c r="B33" t="inlineStr">
        <is>
          <t>- Showback (show teams their cost without billing) is usually the right first step before full chargeback.</t>
        </is>
      </c>
    </row>
    <row r="34">
      <c r="B34" t="inlineStr">
        <is>
          <t>- Defaults are illustrative. Replace the team rows with your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2">
      <c r="B2" s="1" t="inlineStr">
        <is>
          <t>Shared-Services Chargeback Allocator</t>
        </is>
      </c>
    </row>
    <row r="3">
      <c r="B3" s="2" t="inlineStr">
        <is>
          <t>Edit the blue cells: the shared cost, the untaggable %, and each team's usage weight.</t>
        </is>
      </c>
    </row>
    <row r="5">
      <c r="B5" s="3" t="inlineStr">
        <is>
          <t>SHARED SERVICE INPUTS</t>
        </is>
      </c>
    </row>
    <row r="6">
      <c r="B6" s="3" t="inlineStr">
        <is>
          <t>Total monthly shared cost ($)</t>
        </is>
      </c>
      <c r="C6" s="4" t="n">
        <v>120000</v>
      </c>
      <c r="E6" s="2" t="inlineStr">
        <is>
          <t>e.g. the Kafka cluster, logging pipeline, observability stack.</t>
        </is>
      </c>
    </row>
    <row r="7">
      <c r="B7" s="3" t="inlineStr">
        <is>
          <t>Untaggable / unallocatable (%)</t>
        </is>
      </c>
      <c r="C7" s="5" t="n">
        <v>0</v>
      </c>
      <c r="E7" s="2" t="inlineStr">
        <is>
          <t>Share that resists attribution (article: commonly 20-50%). Spread or absorbed; see below.</t>
        </is>
      </c>
    </row>
    <row r="8">
      <c r="B8" s="3" t="inlineStr">
        <is>
          <t>Allocatable cost ($)</t>
        </is>
      </c>
      <c r="C8" s="6">
        <f>$C$6*(1-$C$7)</f>
        <v/>
      </c>
    </row>
    <row r="11">
      <c r="B11" s="7" t="n"/>
      <c r="C11" s="7" t="n"/>
      <c r="D11" s="7" t="n"/>
      <c r="E11" s="7" t="n"/>
      <c r="F11" s="7" t="n"/>
      <c r="G11" s="7" t="n"/>
    </row>
    <row r="12">
      <c r="B12" s="8" t="inlineStr">
        <is>
          <t>Team A (light)</t>
        </is>
      </c>
      <c r="C12" s="9" t="n">
        <v>10</v>
      </c>
      <c r="D12" s="10">
        <f>C12/SUM($C12:C16)</f>
        <v/>
      </c>
      <c r="E12" s="11">
        <f>$C$8/5</f>
        <v/>
      </c>
      <c r="F12" s="11">
        <f>$C$8*D12</f>
        <v/>
      </c>
      <c r="G12" s="11">
        <f>E12-F12</f>
        <v/>
      </c>
    </row>
    <row r="13">
      <c r="B13" s="8" t="inlineStr">
        <is>
          <t>Team B (light)</t>
        </is>
      </c>
      <c r="C13" s="9" t="n">
        <v>20</v>
      </c>
      <c r="D13" s="10">
        <f>C13/SUM($C12:C16)</f>
        <v/>
      </c>
      <c r="E13" s="11">
        <f>$C$8/5</f>
        <v/>
      </c>
      <c r="F13" s="11">
        <f>$C$8*D13</f>
        <v/>
      </c>
      <c r="G13" s="11">
        <f>E13-F13</f>
        <v/>
      </c>
    </row>
    <row r="14">
      <c r="B14" s="8" t="inlineStr">
        <is>
          <t>Team C (medium)</t>
        </is>
      </c>
      <c r="C14" s="9" t="n">
        <v>70</v>
      </c>
      <c r="D14" s="10">
        <f>C14/SUM($C12:C16)</f>
        <v/>
      </c>
      <c r="E14" s="11">
        <f>$C$8/5</f>
        <v/>
      </c>
      <c r="F14" s="11">
        <f>$C$8*D14</f>
        <v/>
      </c>
      <c r="G14" s="11">
        <f>E14-F14</f>
        <v/>
      </c>
    </row>
    <row r="15">
      <c r="B15" s="8" t="inlineStr">
        <is>
          <t>Team D (heavy)</t>
        </is>
      </c>
      <c r="C15" s="9" t="n">
        <v>400</v>
      </c>
      <c r="D15" s="10">
        <f>C15/SUM($C12:C16)</f>
        <v/>
      </c>
      <c r="E15" s="11">
        <f>$C$8/5</f>
        <v/>
      </c>
      <c r="F15" s="11">
        <f>$C$8*D15</f>
        <v/>
      </c>
      <c r="G15" s="11">
        <f>E15-F15</f>
        <v/>
      </c>
    </row>
    <row r="16">
      <c r="B16" s="8" t="inlineStr">
        <is>
          <t>Team E (whale)</t>
        </is>
      </c>
      <c r="C16" s="9" t="n">
        <v>1500</v>
      </c>
      <c r="D16" s="10">
        <f>C16/SUM($C12:C16)</f>
        <v/>
      </c>
      <c r="E16" s="11">
        <f>$C$8/5</f>
        <v/>
      </c>
      <c r="F16" s="11">
        <f>$C$8*D16</f>
        <v/>
      </c>
      <c r="G16" s="11">
        <f>E16-F16</f>
        <v/>
      </c>
    </row>
    <row r="17">
      <c r="B17" s="3" t="inlineStr">
        <is>
          <t>TOTAL</t>
        </is>
      </c>
      <c r="C17" s="12">
        <f>SUM(C12:C16)</f>
        <v/>
      </c>
      <c r="D17" s="13">
        <f>SUM(D12:D16)</f>
        <v/>
      </c>
      <c r="E17" s="14">
        <f>SUM(E12:E16)</f>
        <v/>
      </c>
      <c r="F17" s="14">
        <f>SUM(F12:F16)</f>
        <v/>
      </c>
      <c r="G17" s="14">
        <f>SUM(G12:G16)</f>
        <v/>
      </c>
    </row>
    <row r="19">
      <c r="B19" s="3" t="inlineStr">
        <is>
          <t>Absorb centrally</t>
        </is>
      </c>
      <c r="C19" s="8" t="inlineStr">
        <is>
          <t>$0 to every team</t>
        </is>
      </c>
      <c r="E19" s="2" t="inlineStr">
        <is>
          <t>(platform team eats the full shared cost; no signal to consumers)</t>
        </is>
      </c>
    </row>
    <row r="20">
      <c r="B20" s="3" t="inlineStr">
        <is>
          <t>Biggest cross-subsidy</t>
        </is>
      </c>
      <c r="C20" s="6">
        <f>MAX(G12:G16)</f>
        <v/>
      </c>
      <c r="E20" s="2" t="inlineStr">
        <is>
          <t>The most a single light team overpays per month under split-equally. That is the hidden tax of the easy method.</t>
        </is>
      </c>
    </row>
    <row r="21">
      <c r="B21" s="3" t="inlineStr">
        <is>
          <t>Untaggable residual</t>
        </is>
      </c>
      <c r="C21" s="11">
        <f>$C$6*$C$7</f>
        <v/>
      </c>
      <c r="E21" s="2" t="inlineStr">
        <is>
          <t>Cost that can't be attributed and must be absorbed or spread. Raise tag coverage to shrink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8" customWidth="1" min="3" max="3"/>
    <col width="54" customWidth="1" min="4" max="4"/>
  </cols>
  <sheetData>
    <row r="2">
      <c r="B2" s="1" t="inlineStr">
        <is>
          <t>Cross-AZ Transfer: a topology choice becomes a bill</t>
        </is>
      </c>
    </row>
    <row r="3">
      <c r="B3" s="2" t="inlineStr">
        <is>
          <t>The article's worked example: two chatty services split across availability zones.</t>
        </is>
      </c>
    </row>
    <row r="5">
      <c r="B5" s="3" t="inlineStr">
        <is>
          <t>INPUTS</t>
        </is>
      </c>
    </row>
    <row r="6">
      <c r="B6" s="3" t="inlineStr">
        <is>
          <t>Monthly cross-AZ traffic (GB)</t>
        </is>
      </c>
      <c r="C6" s="9" t="n">
        <v>50000</v>
      </c>
      <c r="D6" s="2" t="inlineStr">
        <is>
          <t>Data crossing the zone boundary each month (50 TB in the article).</t>
        </is>
      </c>
    </row>
    <row r="7">
      <c r="B7" s="3" t="inlineStr">
        <is>
          <t>Cross-AZ transfer price ($/GB, round trip)</t>
        </is>
      </c>
      <c r="C7" s="15" t="n">
        <v>0.02</v>
      </c>
      <c r="D7" s="2" t="inlineStr">
        <is>
          <t>~$0.01 each way on AWS; ~$0.02 round trip.</t>
        </is>
      </c>
    </row>
    <row r="8">
      <c r="B8" s="3" t="inlineStr">
        <is>
          <t>Share of that traffic that could be same-zone (%)</t>
        </is>
      </c>
      <c r="C8" s="5" t="n">
        <v>1</v>
      </c>
      <c r="D8" s="2" t="inlineStr">
        <is>
          <t>The hot path you could make zone-local. Article: ~all of it.</t>
        </is>
      </c>
    </row>
    <row r="10">
      <c r="B10" s="3" t="inlineStr">
        <is>
          <t>RESULTS</t>
        </is>
      </c>
    </row>
    <row r="11">
      <c r="B11" s="3" t="inlineStr">
        <is>
          <t>Monthly cross-AZ cost ($)</t>
        </is>
      </c>
      <c r="C11" s="6">
        <f>$C$6*$C$7</f>
        <v/>
      </c>
      <c r="D11" s="2" t="inlineStr">
        <is>
          <t>What the topology choice costs today (article: ~$1,000/mo).</t>
        </is>
      </c>
    </row>
    <row r="12">
      <c r="B12" s="3" t="inlineStr">
        <is>
          <t>Annual cross-AZ cost ($)</t>
        </is>
      </c>
      <c r="C12" s="11">
        <f>$C$6*$C$7*12</f>
        <v/>
      </c>
    </row>
    <row r="13">
      <c r="B13" s="3" t="inlineStr">
        <is>
          <t>Monthly saving if hot path made zone-local ($)</t>
        </is>
      </c>
      <c r="C13" s="6">
        <f>$C$6*$C$7*$C$8</f>
        <v/>
      </c>
      <c r="D13" s="2" t="inlineStr">
        <is>
          <t>Route the API to a same-zone cache replica; keep cross-AZ for replication only.</t>
        </is>
      </c>
    </row>
    <row r="14">
      <c r="B14" s="3" t="inlineStr">
        <is>
          <t>Annual saving ($)</t>
        </is>
      </c>
      <c r="C14" s="11">
        <f>$C$6*$C$7*$C$8*12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Sensitivity: usage skew vs. cross-subsidy</t>
        </is>
      </c>
    </row>
    <row r="3">
      <c r="B3" s="2" t="inlineStr">
        <is>
          <t>The more uneven the usage, the more 'split equally' overcharges the light teams. This shows the effect.</t>
        </is>
      </c>
    </row>
    <row r="5">
      <c r="B5" s="7" t="inlineStr">
        <is>
          <t>Scenario</t>
        </is>
      </c>
      <c r="C5" s="7" t="inlineStr">
        <is>
          <t>Heavy team usage share</t>
        </is>
      </c>
      <c r="D5" s="7" t="inlineStr">
        <is>
          <t>Light team overpay under equal split</t>
        </is>
      </c>
      <c r="E5" s="7" t="inlineStr">
        <is>
          <t>Read</t>
        </is>
      </c>
    </row>
    <row r="6">
      <c r="B6" s="8" t="inlineStr">
        <is>
          <t>Even (all 5 teams equal)</t>
        </is>
      </c>
      <c r="C6" s="10" t="n">
        <v>0.2</v>
      </c>
      <c r="D6" s="11">
        <f>'Chargeback Allocator'!$C$6/5-'Chargeback Allocator'!$C$6*0.2</f>
        <v/>
      </c>
      <c r="E6" s="2">
        <f>IF(D6&lt;=0,"light team roughly fairly charged","light team overpays $"&amp;TEXT(D6,"#,##0")&amp;"/mo under equal split")</f>
        <v/>
      </c>
    </row>
    <row r="7">
      <c r="B7" s="8" t="inlineStr">
        <is>
          <t>Mild skew</t>
        </is>
      </c>
      <c r="C7" s="10" t="n">
        <v>0.4</v>
      </c>
      <c r="D7" s="11">
        <f>'Chargeback Allocator'!$C$6/5-'Chargeback Allocator'!$C$6*0.15</f>
        <v/>
      </c>
      <c r="E7" s="2">
        <f>IF(D7&lt;=0,"light team roughly fairly charged","light team overpays $"&amp;TEXT(D7,"#,##0")&amp;"/mo under equal split")</f>
        <v/>
      </c>
    </row>
    <row r="8">
      <c r="B8" s="8" t="inlineStr">
        <is>
          <t>Moderate skew</t>
        </is>
      </c>
      <c r="C8" s="10" t="n">
        <v>0.6</v>
      </c>
      <c r="D8" s="11">
        <f>'Chargeback Allocator'!$C$6/5-'Chargeback Allocator'!$C$6*0.1</f>
        <v/>
      </c>
      <c r="E8" s="2">
        <f>IF(D8&lt;=0,"light team roughly fairly charged","light team overpays $"&amp;TEXT(D8,"#,##0")&amp;"/mo under equal split")</f>
        <v/>
      </c>
    </row>
    <row r="9">
      <c r="B9" s="8" t="inlineStr">
        <is>
          <t>Heavy skew</t>
        </is>
      </c>
      <c r="C9" s="10" t="n">
        <v>0.8</v>
      </c>
      <c r="D9" s="11">
        <f>'Chargeback Allocator'!$C$6/5-'Chargeback Allocator'!$C$6*0.05</f>
        <v/>
      </c>
      <c r="E9" s="2">
        <f>IF(D9&lt;=0,"light team roughly fairly charged","light team overpays $"&amp;TEXT(D9,"#,##0")&amp;"/mo under equal split")</f>
        <v/>
      </c>
    </row>
    <row r="10">
      <c r="B10" s="8" t="inlineStr">
        <is>
          <t>Whale dominates</t>
        </is>
      </c>
      <c r="C10" s="10" t="n">
        <v>0.92</v>
      </c>
      <c r="D10" s="11">
        <f>'Chargeback Allocator'!$C$6/5-'Chargeback Allocator'!$C$6*0.02</f>
        <v/>
      </c>
      <c r="E10" s="2">
        <f>IF(D10&lt;=0,"light team roughly fairly charged","light team overpays $"&amp;TEXT(D10,"#,##0")&amp;"/mo under equal split")</f>
        <v/>
      </c>
    </row>
    <row r="12">
      <c r="B12" s="2" t="inlineStr">
        <is>
          <t>The more one team dominates usage, the more the easy 'split equally' method taxes everyone else to cover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2026-10-12T16:20:19Z</dcterms:created>
  <dcterms:modified xmlns:dcterms="http://purl.org/dc/terms/" xmlns:xsi="http://www.w3.org/2001/XMLSchema-instance" xsi:type="dcterms:W3CDTF">2026-10-12T16:20:19Z</dcterms:modified>
</cp:coreProperties>
</file>