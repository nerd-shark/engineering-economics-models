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ortfolio Scorer" sheetId="2" state="visible" r:id="rId2"/>
    <sheet xmlns:r="http://schemas.openxmlformats.org/officeDocument/2006/relationships" name="Sensitivity" sheetId="3" state="visible" r:id="rId3"/>
  </sheets>
  <definedNames/>
  <calcPr calcId="124519" fullCalcOnLoad="1"/>
</workbook>
</file>

<file path=xl/styles.xml><?xml version="1.0" encoding="utf-8"?>
<styleSheet xmlns="http://schemas.openxmlformats.org/spreadsheetml/2006/main">
  <numFmts count="3">
    <numFmt numFmtId="164" formatCode="0.00&quot;x&quot;"/>
    <numFmt numFmtId="165" formatCode="&quot;$&quot;#,##0"/>
    <numFmt numFmtId="166" formatCode="0.000&quot;x&quot;"/>
  </numFmts>
  <fonts count="7">
    <font>
      <name val="Calibri"/>
      <family val="2"/>
      <color theme="1"/>
      <sz val="11"/>
      <scheme val="minor"/>
    </font>
    <font>
      <b val="1"/>
      <sz val="16"/>
    </font>
    <font>
      <i val="1"/>
      <color rgb="0057606A"/>
      <sz val="10"/>
    </font>
    <font>
      <b val="1"/>
    </font>
    <font>
      <b val="1"/>
      <color rgb="00FFFFFF"/>
      <sz val="12"/>
    </font>
    <font>
      <b val="1"/>
      <sz val="12"/>
    </font>
    <font>
      <b val="1"/>
      <sz val="13"/>
    </font>
  </fonts>
  <fills count="7">
    <fill>
      <patternFill/>
    </fill>
    <fill>
      <patternFill patternType="gray125"/>
    </fill>
    <fill>
      <patternFill patternType="solid">
        <fgColor rgb="00DBEAFE"/>
      </patternFill>
    </fill>
    <fill>
      <patternFill patternType="solid">
        <fgColor rgb="0024292F"/>
      </patternFill>
    </fill>
    <fill>
      <patternFill patternType="solid">
        <fgColor rgb="00FFF4CE"/>
      </patternFill>
    </fill>
    <fill>
      <patternFill patternType="solid">
        <fgColor rgb="00FDE2E1"/>
      </patternFill>
    </fill>
    <fill>
      <patternFill patternType="solid">
        <fgColor rgb="00DCFCE7"/>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2" borderId="1" pivotButton="0" quotePrefix="0" xfId="0"/>
    <xf numFmtId="0" fontId="4" fillId="3" borderId="1" applyAlignment="1" pivotButton="0" quotePrefix="0" xfId="0">
      <alignment horizontal="center" vertical="center"/>
    </xf>
    <xf numFmtId="0" fontId="0" fillId="0" borderId="1" pivotButton="0" quotePrefix="0" xfId="0"/>
    <xf numFmtId="165" fontId="0" fillId="2" borderId="1" pivotButton="0" quotePrefix="0" xfId="0"/>
    <xf numFmtId="3" fontId="0" fillId="2" borderId="1" pivotButton="0" quotePrefix="0" xfId="0"/>
    <xf numFmtId="166" fontId="3" fillId="0" borderId="1" pivotButton="0" quotePrefix="0" xfId="0"/>
    <xf numFmtId="165" fontId="0" fillId="0" borderId="1" pivotButton="0" quotePrefix="0" xfId="0"/>
    <xf numFmtId="164" fontId="0" fillId="0" borderId="1" pivotButton="0" quotePrefix="0" xfId="0"/>
    <xf numFmtId="0" fontId="3" fillId="0" borderId="1" applyAlignment="1" pivotButton="0" quotePrefix="0" xfId="0">
      <alignment horizontal="center"/>
    </xf>
    <xf numFmtId="165" fontId="3" fillId="4" borderId="1" pivotButton="0" quotePrefix="0" xfId="0"/>
    <xf numFmtId="3" fontId="0" fillId="0" borderId="1" pivotButton="0" quotePrefix="0" xfId="0"/>
    <xf numFmtId="164" fontId="5" fillId="4" borderId="1" pivotButton="0" quotePrefix="0" xfId="0"/>
    <xf numFmtId="3" fontId="0" fillId="4" borderId="1" pivotButton="0" quotePrefix="0" xfId="0"/>
    <xf numFmtId="166" fontId="0" fillId="0" borderId="1" pivotButton="0" quotePrefix="0" xfId="0"/>
    <xf numFmtId="165" fontId="5" fillId="4" borderId="1" pivotButton="0" quotePrefix="0" xfId="0"/>
    <xf numFmtId="165" fontId="0" fillId="5" borderId="1" pivotButton="0" quotePrefix="0" xfId="0"/>
    <xf numFmtId="165" fontId="6" fillId="4" borderId="1" pivotButton="0" quotePrefix="0" xfId="0"/>
    <xf numFmtId="165" fontId="0" fillId="4" borderId="1" pivotButton="0" quotePrefix="0" xfId="0"/>
    <xf numFmtId="164" fontId="0" fillId="0" borderId="1" applyAlignment="1" pivotButton="0" quotePrefix="0" xfId="0">
      <alignment horizontal="center"/>
    </xf>
    <xf numFmtId="3" fontId="0" fillId="5" borderId="1" pivotButton="0" quotePrefix="0" xfId="0"/>
    <xf numFmtId="3"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2" customWidth="1" min="1" max="1"/>
    <col width="102" customWidth="1" min="2" max="2"/>
  </cols>
  <sheetData>
    <row r="2">
      <c r="B2" s="1" t="inlineStr">
        <is>
          <t>Application Portfolio Review Scorer</t>
        </is>
      </c>
    </row>
    <row r="3">
      <c r="B3" s="2" t="inlineStr">
        <is>
          <t>Companion to "The Production Portfolio Review" (Engineering Economics, Part 8)</t>
        </is>
      </c>
    </row>
    <row r="4">
      <c r="B4" t="inlineStr"/>
    </row>
    <row r="5">
      <c r="B5" s="3" t="inlineStr">
        <is>
          <t>What this is</t>
        </is>
      </c>
    </row>
    <row r="6">
      <c r="B6" t="inlineStr">
        <is>
          <t>A portfolio review scores every application the way you would score financial holdings: some appreciate,</t>
        </is>
      </c>
    </row>
    <row r="7">
      <c r="B7" t="inlineStr">
        <is>
          <t>some depreciate, and some cost more to hold than they return. For each app you compare its REALIZED annual</t>
        </is>
      </c>
    </row>
    <row r="8">
      <c r="B8" t="inlineStr">
        <is>
          <t>value against what it costs to run, then compare that against the ROI the original business case PROMISED.</t>
        </is>
      </c>
    </row>
    <row r="9">
      <c r="B9" t="inlineStr">
        <is>
          <t>The scorer turns "we have too many apps" into a value-to-cost ratio per app and a keep / watch / sunset call.</t>
        </is>
      </c>
    </row>
    <row r="10">
      <c r="B10" t="inlineStr"/>
    </row>
    <row r="11">
      <c r="B11" t="inlineStr">
        <is>
          <t>Blue cells are the only inputs. Everything else is a live formula, so change a blue cell and every result</t>
        </is>
      </c>
    </row>
    <row r="12">
      <c r="B12" t="inlineStr">
        <is>
          <t>updates. The defaults reproduce the article's illustrative worked example.</t>
        </is>
      </c>
    </row>
    <row r="13">
      <c r="B13" t="inlineStr"/>
    </row>
    <row r="14">
      <c r="B14" s="3" t="inlineStr">
        <is>
          <t>The three tabs</t>
        </is>
      </c>
    </row>
    <row r="15">
      <c r="B15" t="inlineStr">
        <is>
          <t>1. Portfolio Scorer - the core model. One editable row per application. Read the value-to-cost ratio, the</t>
        </is>
      </c>
    </row>
    <row r="16">
      <c r="B16" t="inlineStr">
        <is>
          <t xml:space="preserve">    cost per active user, the realized-vs-promised gap, and the keep / watch / sunset recommendation for each,</t>
        </is>
      </c>
    </row>
    <row r="17">
      <c r="B17" t="inlineStr">
        <is>
          <t xml:space="preserve">    plus the portfolio totals and the spend recoverable by sunsetting the bottom-quartile apps. Start here.</t>
        </is>
      </c>
    </row>
    <row r="18">
      <c r="B18" t="inlineStr">
        <is>
          <t>2. Sensitivity - sweeps the keep/sunset threshold (the number you are least sure of) and shows how many apps</t>
        </is>
      </c>
    </row>
    <row r="19">
      <c r="B19" t="inlineStr">
        <is>
          <t xml:space="preserve">    land in each category and how the recoverable spend changes as the line moves.</t>
        </is>
      </c>
    </row>
    <row r="20">
      <c r="B20" t="inlineStr"/>
    </row>
    <row r="21">
      <c r="B21" s="3" t="inlineStr">
        <is>
          <t>How to use it</t>
        </is>
      </c>
    </row>
    <row r="22">
      <c r="B22" t="inlineStr">
        <is>
          <t>Open the Portfolio Scorer tab. Replace the six sample rows with your own applications: the name, annual run</t>
        </is>
      </c>
    </row>
    <row r="23">
      <c r="B23" t="inlineStr">
        <is>
          <t>cost, realized annual value, active users, monthly support burden, and the ROI the original business case</t>
        </is>
      </c>
    </row>
    <row r="24">
      <c r="B24" t="inlineStr">
        <is>
          <t>promised. Set the two threshold inputs (Keep at or above, Sunset below). Read each app's ratio and call, the</t>
        </is>
      </c>
    </row>
    <row r="25">
      <c r="B25" t="inlineStr">
        <is>
          <t>portfolio totals, and the recoverable-spend figure. Then open Sensitivity to see how the calls move.</t>
        </is>
      </c>
    </row>
    <row r="26">
      <c r="B26" t="inlineStr"/>
    </row>
    <row r="27">
      <c r="B27" s="3" t="inlineStr">
        <is>
          <t>The honest limits</t>
        </is>
      </c>
    </row>
    <row r="28">
      <c r="B28" t="inlineStr">
        <is>
          <t>- Realized value is itself an estimate. A low ratio can mean the value is mis-measured, not that the app is</t>
        </is>
      </c>
    </row>
    <row r="29">
      <c r="B29" t="inlineStr">
        <is>
          <t xml:space="preserve">    dead. Treat the ratio as a prompt to investigate, not a verdict. Show your value assumptions.</t>
        </is>
      </c>
    </row>
    <row r="30">
      <c r="B30" t="inlineStr">
        <is>
          <t>- Some apps must run regardless of ratio. Compliance, security, and strategic systems can score badly on pure</t>
        </is>
      </c>
    </row>
    <row r="31">
      <c r="B31" t="inlineStr">
        <is>
          <t xml:space="preserve">    cost-per-value and still be mandatory. Flag those before you sunset anything.</t>
        </is>
      </c>
    </row>
    <row r="32">
      <c r="B32" t="inlineStr">
        <is>
          <t>- Politics can override the math. Someone owns every app on the list. A structured review and executive</t>
        </is>
      </c>
    </row>
    <row r="33">
      <c r="B33" t="inlineStr">
        <is>
          <t xml:space="preserve">    sponsorship matter as much as the number.</t>
        </is>
      </c>
    </row>
    <row r="34">
      <c r="B34" t="inlineStr">
        <is>
          <t>- Defaults are illustrative, from the article (a six-app portfolio, blended 2.00x, one app returning 0.125x).</t>
        </is>
      </c>
    </row>
    <row r="35">
      <c r="B35" t="inlineStr">
        <is>
          <t xml:space="preserve">    Replace every blue cell with your 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K36"/>
  <sheetViews>
    <sheetView showGridLines="0" workbookViewId="0">
      <selection activeCell="A1" sqref="A1"/>
    </sheetView>
  </sheetViews>
  <sheetFormatPr baseColWidth="8" defaultRowHeight="15"/>
  <cols>
    <col width="2" customWidth="1" min="1" max="1"/>
    <col width="42" customWidth="1" min="2" max="2"/>
    <col width="16" customWidth="1" min="3" max="3"/>
    <col width="18" customWidth="1" min="4" max="4"/>
    <col width="12" customWidth="1" min="5" max="5"/>
    <col width="15" customWidth="1" min="6" max="6"/>
    <col width="14" customWidth="1" min="7" max="7"/>
    <col width="14" customWidth="1" min="8" max="8"/>
    <col width="14" customWidth="1" min="9" max="9"/>
    <col width="15" customWidth="1" min="10" max="10"/>
    <col width="12" customWidth="1" min="11" max="11"/>
  </cols>
  <sheetData>
    <row r="2">
      <c r="B2" s="1" t="inlineStr">
        <is>
          <t>Portfolio Scorer</t>
        </is>
      </c>
    </row>
    <row r="3">
      <c r="B3" s="2" t="inlineStr">
        <is>
          <t>Edit the blue cells: one row per application, plus the two threshold inputs. Every other cell is a formula.</t>
        </is>
      </c>
    </row>
    <row r="5">
      <c r="B5" s="3" t="inlineStr">
        <is>
          <t>THRESHOLDS (edit the blue cells)</t>
        </is>
      </c>
    </row>
    <row r="6">
      <c r="B6" s="3" t="inlineStr">
        <is>
          <t>Keep if value-to-cost ratio is at or above</t>
        </is>
      </c>
      <c r="C6" s="4" t="n">
        <v>2</v>
      </c>
      <c r="D6" s="2" t="inlineStr">
        <is>
          <t>At or above this ratio the app earns its spend: Keep.</t>
        </is>
      </c>
    </row>
    <row r="7">
      <c r="B7" s="3" t="inlineStr">
        <is>
          <t>Sunset if value-to-cost ratio is below</t>
        </is>
      </c>
      <c r="C7" s="4" t="n">
        <v>1</v>
      </c>
      <c r="D7" s="2" t="inlineStr">
        <is>
          <t>Below this ratio the app returns less than it costs to run: Sunset candidate. Between the two = Watch.</t>
        </is>
      </c>
    </row>
    <row r="9">
      <c r="B9" s="5" t="inlineStr">
        <is>
          <t>Application</t>
        </is>
      </c>
      <c r="C9" s="5" t="inlineStr">
        <is>
          <t>Annual run cost ($)</t>
        </is>
      </c>
      <c r="D9" s="5" t="inlineStr">
        <is>
          <t>Realized annual value ($)</t>
        </is>
      </c>
      <c r="E9" s="5" t="inlineStr">
        <is>
          <t>Active users</t>
        </is>
      </c>
      <c r="F9" s="5" t="inlineStr">
        <is>
          <t>Support (tickets/mo)</t>
        </is>
      </c>
      <c r="G9" s="5" t="inlineStr">
        <is>
          <t>Promised ROI</t>
        </is>
      </c>
      <c r="H9" s="5" t="inlineStr">
        <is>
          <t>Value-to-cost ratio</t>
        </is>
      </c>
      <c r="I9" s="5" t="inlineStr">
        <is>
          <t>Cost / active user ($)</t>
        </is>
      </c>
      <c r="J9" s="5" t="inlineStr">
        <is>
          <t>Realized vs promised gap</t>
        </is>
      </c>
      <c r="K9" s="5" t="inlineStr">
        <is>
          <t>Recommendation</t>
        </is>
      </c>
    </row>
    <row r="10">
      <c r="B10" s="6" t="inlineStr">
        <is>
          <t>A - Core Billing Platform</t>
        </is>
      </c>
      <c r="C10" s="7" t="n">
        <v>600000</v>
      </c>
      <c r="D10" s="7" t="n">
        <v>2400000</v>
      </c>
      <c r="E10" s="8" t="n">
        <v>1200</v>
      </c>
      <c r="F10" s="8" t="n">
        <v>15</v>
      </c>
      <c r="G10" s="4" t="n">
        <v>3</v>
      </c>
      <c r="H10" s="9">
        <f>IF(C10=0,"n/a",D10/C10)</f>
        <v/>
      </c>
      <c r="I10" s="10">
        <f>IF(E10=0,"n/a",C10/E10)</f>
        <v/>
      </c>
      <c r="J10" s="11">
        <f>IF(C10=0,"n/a",D10/C10-G10)</f>
        <v/>
      </c>
      <c r="K10" s="12">
        <f>IF(C10=0,"n/a",IF(D10/C10&gt;=$C$6,"Keep",IF(D10/C10&lt;$C$7,"Sunset","Watch")))</f>
        <v/>
      </c>
    </row>
    <row r="11">
      <c r="B11" s="6" t="inlineStr">
        <is>
          <t>B - Customer Analytics Suite</t>
        </is>
      </c>
      <c r="C11" s="7" t="n">
        <v>350000</v>
      </c>
      <c r="D11" s="7" t="n">
        <v>700000</v>
      </c>
      <c r="E11" s="8" t="n">
        <v>450</v>
      </c>
      <c r="F11" s="8" t="n">
        <v>20</v>
      </c>
      <c r="G11" s="4" t="n">
        <v>2.5</v>
      </c>
      <c r="H11" s="9">
        <f>IF(C11=0,"n/a",D11/C11)</f>
        <v/>
      </c>
      <c r="I11" s="10">
        <f>IF(E11=0,"n/a",C11/E11)</f>
        <v/>
      </c>
      <c r="J11" s="11">
        <f>IF(C11=0,"n/a",D11/C11-G11)</f>
        <v/>
      </c>
      <c r="K11" s="12">
        <f>IF(C11=0,"n/a",IF(D11/C11&gt;=$C$6,"Keep",IF(D11/C11&lt;$C$7,"Sunset","Watch")))</f>
        <v/>
      </c>
    </row>
    <row r="12">
      <c r="B12" s="6" t="inlineStr">
        <is>
          <t>C - Partner Portal</t>
        </is>
      </c>
      <c r="C12" s="7" t="n">
        <v>220000</v>
      </c>
      <c r="D12" s="7" t="n">
        <v>260000</v>
      </c>
      <c r="E12" s="8" t="n">
        <v>180</v>
      </c>
      <c r="F12" s="8" t="n">
        <v>12</v>
      </c>
      <c r="G12" s="4" t="n">
        <v>2</v>
      </c>
      <c r="H12" s="9">
        <f>IF(C12=0,"n/a",D12/C12)</f>
        <v/>
      </c>
      <c r="I12" s="10">
        <f>IF(E12=0,"n/a",C12/E12)</f>
        <v/>
      </c>
      <c r="J12" s="11">
        <f>IF(C12=0,"n/a",D12/C12-G12)</f>
        <v/>
      </c>
      <c r="K12" s="12">
        <f>IF(C12=0,"n/a",IF(D12/C12&gt;=$C$6,"Keep",IF(D12/C12&lt;$C$7,"Sunset","Watch")))</f>
        <v/>
      </c>
    </row>
    <row r="13">
      <c r="B13" s="6" t="inlineStr">
        <is>
          <t>D - Field Ops Mobile App</t>
        </is>
      </c>
      <c r="C13" s="7" t="n">
        <v>180000</v>
      </c>
      <c r="D13" s="7" t="n">
        <v>150000</v>
      </c>
      <c r="E13" s="8" t="n">
        <v>95</v>
      </c>
      <c r="F13" s="8" t="n">
        <v>25</v>
      </c>
      <c r="G13" s="4" t="n">
        <v>2.2</v>
      </c>
      <c r="H13" s="9">
        <f>IF(C13=0,"n/a",D13/C13)</f>
        <v/>
      </c>
      <c r="I13" s="10">
        <f>IF(E13=0,"n/a",C13/E13)</f>
        <v/>
      </c>
      <c r="J13" s="11">
        <f>IF(C13=0,"n/a",D13/C13-G13)</f>
        <v/>
      </c>
      <c r="K13" s="12">
        <f>IF(C13=0,"n/a",IF(D13/C13&gt;=$C$6,"Keep",IF(D13/C13&lt;$C$7,"Sunset","Watch")))</f>
        <v/>
      </c>
    </row>
    <row r="14">
      <c r="B14" s="6" t="inlineStr">
        <is>
          <t>E - Legacy Reporting Engine (the $400K app)</t>
        </is>
      </c>
      <c r="C14" s="7" t="n">
        <v>400000</v>
      </c>
      <c r="D14" s="7" t="n">
        <v>50000</v>
      </c>
      <c r="E14" s="8" t="n">
        <v>30</v>
      </c>
      <c r="F14" s="8" t="n">
        <v>40</v>
      </c>
      <c r="G14" s="4" t="n">
        <v>4</v>
      </c>
      <c r="H14" s="9">
        <f>IF(C14=0,"n/a",D14/C14)</f>
        <v/>
      </c>
      <c r="I14" s="10">
        <f>IF(E14=0,"n/a",C14/E14)</f>
        <v/>
      </c>
      <c r="J14" s="11">
        <f>IF(C14=0,"n/a",D14/C14-G14)</f>
        <v/>
      </c>
      <c r="K14" s="12">
        <f>IF(C14=0,"n/a",IF(D14/C14&gt;=$C$6,"Keep",IF(D14/C14&lt;$C$7,"Sunset","Watch")))</f>
        <v/>
      </c>
    </row>
    <row r="15">
      <c r="B15" s="6" t="inlineStr">
        <is>
          <t>F - Internal Wiki / Knowledge Base</t>
        </is>
      </c>
      <c r="C15" s="7" t="n">
        <v>90000</v>
      </c>
      <c r="D15" s="7" t="n">
        <v>120000</v>
      </c>
      <c r="E15" s="8" t="n">
        <v>800</v>
      </c>
      <c r="F15" s="8" t="n">
        <v>3</v>
      </c>
      <c r="G15" s="4" t="n">
        <v>1.5</v>
      </c>
      <c r="H15" s="9">
        <f>IF(C15=0,"n/a",D15/C15)</f>
        <v/>
      </c>
      <c r="I15" s="10">
        <f>IF(E15=0,"n/a",C15/E15)</f>
        <v/>
      </c>
      <c r="J15" s="11">
        <f>IF(C15=0,"n/a",D15/C15-G15)</f>
        <v/>
      </c>
      <c r="K15" s="12">
        <f>IF(C15=0,"n/a",IF(D15/C15&gt;=$C$6,"Keep",IF(D15/C15&lt;$C$7,"Sunset","Watch")))</f>
        <v/>
      </c>
    </row>
    <row r="16">
      <c r="B16" s="3" t="inlineStr">
        <is>
          <t>PORTFOLIO TOTAL</t>
        </is>
      </c>
      <c r="C16" s="13">
        <f>SUM(C10:C15)</f>
        <v/>
      </c>
      <c r="D16" s="13">
        <f>SUM(D10:D15)</f>
        <v/>
      </c>
      <c r="E16" s="14">
        <f>SUM(E10:E15)</f>
        <v/>
      </c>
      <c r="H16" s="15">
        <f>IF(C16=0,"n/a",D16/C16)</f>
        <v/>
      </c>
      <c r="K16" s="2" t="inlineStr">
        <is>
          <t>(blended)</t>
        </is>
      </c>
    </row>
    <row r="18">
      <c r="B18" s="3" t="inlineStr">
        <is>
          <t>CATEGORY COUNTS (formulas vs. the thresholds)</t>
        </is>
      </c>
    </row>
    <row r="19">
      <c r="B19" s="3" t="inlineStr">
        <is>
          <t>Apps in Keep</t>
        </is>
      </c>
      <c r="C19" s="14">
        <f>COUNTIF(K10:K15,"Keep")</f>
        <v/>
      </c>
    </row>
    <row r="20">
      <c r="B20" s="3" t="inlineStr">
        <is>
          <t>Apps in Watch</t>
        </is>
      </c>
      <c r="C20" s="14">
        <f>COUNTIF(K10:K15,"Watch")</f>
        <v/>
      </c>
    </row>
    <row r="21">
      <c r="B21" s="3" t="inlineStr">
        <is>
          <t>Apps in Sunset</t>
        </is>
      </c>
      <c r="C21" s="14">
        <f>COUNTIF(K10:K15,"Sunset")</f>
        <v/>
      </c>
    </row>
    <row r="23">
      <c r="B23" s="1" t="inlineStr">
        <is>
          <t>RECOVERABLE SPEND - SUNSET THE BOTTOM QUARTILE</t>
        </is>
      </c>
    </row>
    <row r="24">
      <c r="B24" s="2" t="inlineStr">
        <is>
          <t>The bottom quartile = the lowest-ranked 25% of apps by value-to-cost ratio. With 6 apps that rounds to the 2 worst.</t>
        </is>
      </c>
    </row>
    <row r="25">
      <c r="B25" s="3" t="inlineStr">
        <is>
          <t>Number of apps in the bottom quartile</t>
        </is>
      </c>
      <c r="C25" s="16">
        <f>MAX(1,ROUND(COUNT(H10:H15)*0.25,0))</f>
        <v/>
      </c>
      <c r="D25" s="2" t="inlineStr">
        <is>
          <t>ROUND(app count x 25%, 0), at least 1. With 6 apps this is 2 (apps D and E).</t>
        </is>
      </c>
    </row>
    <row r="26">
      <c r="B26" s="3" t="inlineStr">
        <is>
          <t>Value-to-cost ratio cutoff (quartile boundary)</t>
        </is>
      </c>
      <c r="C26" s="17">
        <f>SMALL(H10:H15,$C$25)</f>
        <v/>
      </c>
      <c r="D26" s="2" t="inlineStr">
        <is>
          <t>The Nth-smallest ratio. Apps at or below this ratio are the bottom-quartile sunset set.</t>
        </is>
      </c>
    </row>
    <row r="27">
      <c r="B27" s="3" t="inlineStr">
        <is>
          <t>Gross run cost recoverable ($/yr)</t>
        </is>
      </c>
      <c r="C27" s="18">
        <f>SUMIF(H10:H15,"&lt;="&amp;$C$26,C10:C15)</f>
        <v/>
      </c>
      <c r="D27" s="2" t="inlineStr">
        <is>
          <t>Total annual run cost of the bottom-quartile apps. Default: $180K + $400K = $580K.</t>
        </is>
      </c>
    </row>
    <row r="28">
      <c r="B28" s="3" t="inlineStr">
        <is>
          <t>Realized value forgone ($/yr)</t>
        </is>
      </c>
      <c r="C28" s="19">
        <f>SUMIF(H10:H15,"&lt;="&amp;$C$26,D10:D15)</f>
        <v/>
      </c>
      <c r="D28" s="2" t="inlineStr">
        <is>
          <t>The realized value you give up by sunsetting those apps. Default: $150K + $50K = $200K.</t>
        </is>
      </c>
    </row>
    <row r="29">
      <c r="B29" s="3" t="inlineStr">
        <is>
          <t>Net annual recoverable spend ($/yr)</t>
        </is>
      </c>
      <c r="C29" s="20">
        <f>$C$27-$C$28</f>
        <v/>
      </c>
      <c r="D29" s="2" t="inlineStr">
        <is>
          <t>Gross run cost recovered minus value forgone. Default: $580K - $200K = $380K.</t>
        </is>
      </c>
    </row>
    <row r="31">
      <c r="B31" s="3" t="inlineStr">
        <is>
          <t>THE SINGLE WORST APP (lowest ratio)</t>
        </is>
      </c>
    </row>
    <row r="32">
      <c r="B32" s="3" t="inlineStr">
        <is>
          <t>Run cost recovered by sunsetting it ($/yr)</t>
        </is>
      </c>
      <c r="C32" s="21">
        <f>SUMIF(H10:H15,SMALL(H10:H15,1),C10:C15)</f>
        <v/>
      </c>
      <c r="D32" s="2" t="inlineStr">
        <is>
          <t>Run cost of the lowest-ratio app. Default: the $400K Legacy Reporting Engine.</t>
        </is>
      </c>
    </row>
    <row r="33">
      <c r="B33" s="3" t="inlineStr">
        <is>
          <t>Value forgone by sunsetting it ($/yr)</t>
        </is>
      </c>
      <c r="C33" s="19">
        <f>SUMIF(H10:H15,SMALL(H10:H15,1),D10:D15)</f>
        <v/>
      </c>
      <c r="D33" s="2" t="inlineStr">
        <is>
          <t>Realized value of that app. Default: $50K.</t>
        </is>
      </c>
    </row>
    <row r="34">
      <c r="B34" s="3" t="inlineStr">
        <is>
          <t>Net recovered by sunsetting it ($/yr)</t>
        </is>
      </c>
      <c r="C34" s="18">
        <f>C32-C33</f>
        <v/>
      </c>
      <c r="D34" s="2" t="inlineStr">
        <is>
          <t>Default: $400K - $50K = $350K returned to the portfolio from one app.</t>
        </is>
      </c>
    </row>
    <row r="36">
      <c r="B36" s="2" t="inlineStr">
        <is>
          <t>These defaults are illustrative, from the article. Replace every blue cell with your own 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4"/>
  <sheetViews>
    <sheetView showGridLines="0" workbookViewId="0">
      <selection activeCell="A1" sqref="A1"/>
    </sheetView>
  </sheetViews>
  <sheetFormatPr baseColWidth="8" defaultRowHeight="15"/>
  <cols>
    <col width="2" customWidth="1" min="1" max="1"/>
    <col width="26" customWidth="1" min="2" max="2"/>
    <col width="20" customWidth="1" min="3" max="3"/>
    <col width="20" customWidth="1" min="4" max="4"/>
    <col width="20" customWidth="1" min="5" max="5"/>
    <col width="20" customWidth="1" min="6" max="6"/>
    <col width="20" customWidth="1" min="7" max="7"/>
  </cols>
  <sheetData>
    <row r="2">
      <c r="B2" s="1" t="inlineStr">
        <is>
          <t>Sensitivity: the keep / sunset threshold</t>
        </is>
      </c>
    </row>
    <row r="3">
      <c r="B3" s="2" t="inlineStr">
        <is>
          <t>The keep/sunset line is the number you are least sure of. This sweeps the Sunset threshold and shows how many apps fall into each bucket and how much spend becomes recoverable at each step.</t>
        </is>
      </c>
    </row>
    <row r="5">
      <c r="B5" s="5" t="inlineStr">
        <is>
          <t>Sunset threshold</t>
        </is>
      </c>
      <c r="C5" s="5" t="inlineStr">
        <is>
          <t>Apps Sunset (ratio &lt; threshold)</t>
        </is>
      </c>
      <c r="D5" s="5" t="inlineStr">
        <is>
          <t>Apps Keep (ratio &gt;= Keep line)</t>
        </is>
      </c>
      <c r="E5" s="5" t="inlineStr">
        <is>
          <t>Apps Watch (between)</t>
        </is>
      </c>
      <c r="F5" s="5" t="inlineStr">
        <is>
          <t>Gross recoverable ($)</t>
        </is>
      </c>
      <c r="G5" s="5" t="inlineStr">
        <is>
          <t>Net recoverable ($)</t>
        </is>
      </c>
    </row>
    <row r="6">
      <c r="B6" s="22" t="n">
        <v>0.5</v>
      </c>
      <c r="C6" s="23">
        <f>COUNTIF('Portfolio Scorer'!H10:H15,"&lt;"&amp;B6)</f>
        <v/>
      </c>
      <c r="D6" s="24">
        <f>COUNTIF('Portfolio Scorer'!H10:H15,"&gt;="&amp;'Portfolio Scorer'!$C$6)</f>
        <v/>
      </c>
      <c r="E6" s="14">
        <f>COUNT('Portfolio Scorer'!H10:H15)-C6-D6</f>
        <v/>
      </c>
      <c r="F6" s="10">
        <f>SUMIF('Portfolio Scorer'!H10:H15,"&lt;"&amp;B6,'Portfolio Scorer'!C10:C15)</f>
        <v/>
      </c>
      <c r="G6" s="21">
        <f>SUMIF('Portfolio Scorer'!H10:H15,"&lt;"&amp;B6,'Portfolio Scorer'!C10:C15)-SUMIF('Portfolio Scorer'!H10:H15,"&lt;"&amp;B6,'Portfolio Scorer'!D10:D15)</f>
        <v/>
      </c>
    </row>
    <row r="7">
      <c r="B7" s="22" t="n">
        <v>0.75</v>
      </c>
      <c r="C7" s="23">
        <f>COUNTIF('Portfolio Scorer'!H10:H15,"&lt;"&amp;B7)</f>
        <v/>
      </c>
      <c r="D7" s="24">
        <f>COUNTIF('Portfolio Scorer'!H10:H15,"&gt;="&amp;'Portfolio Scorer'!$C$6)</f>
        <v/>
      </c>
      <c r="E7" s="14">
        <f>COUNT('Portfolio Scorer'!H10:H15)-C7-D7</f>
        <v/>
      </c>
      <c r="F7" s="10">
        <f>SUMIF('Portfolio Scorer'!H10:H15,"&lt;"&amp;B7,'Portfolio Scorer'!C10:C15)</f>
        <v/>
      </c>
      <c r="G7" s="21">
        <f>SUMIF('Portfolio Scorer'!H10:H15,"&lt;"&amp;B7,'Portfolio Scorer'!C10:C15)-SUMIF('Portfolio Scorer'!H10:H15,"&lt;"&amp;B7,'Portfolio Scorer'!D10:D15)</f>
        <v/>
      </c>
    </row>
    <row r="8">
      <c r="B8" s="22" t="n">
        <v>1</v>
      </c>
      <c r="C8" s="23">
        <f>COUNTIF('Portfolio Scorer'!H10:H15,"&lt;"&amp;B8)</f>
        <v/>
      </c>
      <c r="D8" s="24">
        <f>COUNTIF('Portfolio Scorer'!H10:H15,"&gt;="&amp;'Portfolio Scorer'!$C$6)</f>
        <v/>
      </c>
      <c r="E8" s="14">
        <f>COUNT('Portfolio Scorer'!H10:H15)-C8-D8</f>
        <v/>
      </c>
      <c r="F8" s="10">
        <f>SUMIF('Portfolio Scorer'!H10:H15,"&lt;"&amp;B8,'Portfolio Scorer'!C10:C15)</f>
        <v/>
      </c>
      <c r="G8" s="21">
        <f>SUMIF('Portfolio Scorer'!H10:H15,"&lt;"&amp;B8,'Portfolio Scorer'!C10:C15)-SUMIF('Portfolio Scorer'!H10:H15,"&lt;"&amp;B8,'Portfolio Scorer'!D10:D15)</f>
        <v/>
      </c>
    </row>
    <row r="9">
      <c r="B9" s="22" t="n">
        <v>1.25</v>
      </c>
      <c r="C9" s="23">
        <f>COUNTIF('Portfolio Scorer'!H10:H15,"&lt;"&amp;B9)</f>
        <v/>
      </c>
      <c r="D9" s="24">
        <f>COUNTIF('Portfolio Scorer'!H10:H15,"&gt;="&amp;'Portfolio Scorer'!$C$6)</f>
        <v/>
      </c>
      <c r="E9" s="14">
        <f>COUNT('Portfolio Scorer'!H10:H15)-C9-D9</f>
        <v/>
      </c>
      <c r="F9" s="10">
        <f>SUMIF('Portfolio Scorer'!H10:H15,"&lt;"&amp;B9,'Portfolio Scorer'!C10:C15)</f>
        <v/>
      </c>
      <c r="G9" s="21">
        <f>SUMIF('Portfolio Scorer'!H10:H15,"&lt;"&amp;B9,'Portfolio Scorer'!C10:C15)-SUMIF('Portfolio Scorer'!H10:H15,"&lt;"&amp;B9,'Portfolio Scorer'!D10:D15)</f>
        <v/>
      </c>
    </row>
    <row r="10">
      <c r="B10" s="22" t="n">
        <v>1.5</v>
      </c>
      <c r="C10" s="23">
        <f>COUNTIF('Portfolio Scorer'!H10:H15,"&lt;"&amp;B10)</f>
        <v/>
      </c>
      <c r="D10" s="24">
        <f>COUNTIF('Portfolio Scorer'!H10:H15,"&gt;="&amp;'Portfolio Scorer'!$C$6)</f>
        <v/>
      </c>
      <c r="E10" s="14">
        <f>COUNT('Portfolio Scorer'!H10:H15)-C10-D10</f>
        <v/>
      </c>
      <c r="F10" s="10">
        <f>SUMIF('Portfolio Scorer'!H10:H15,"&lt;"&amp;B10,'Portfolio Scorer'!C10:C15)</f>
        <v/>
      </c>
      <c r="G10" s="21">
        <f>SUMIF('Portfolio Scorer'!H10:H15,"&lt;"&amp;B10,'Portfolio Scorer'!C10:C15)-SUMIF('Portfolio Scorer'!H10:H15,"&lt;"&amp;B10,'Portfolio Scorer'!D10:D15)</f>
        <v/>
      </c>
    </row>
    <row r="11">
      <c r="B11" s="22" t="n">
        <v>2</v>
      </c>
      <c r="C11" s="23">
        <f>COUNTIF('Portfolio Scorer'!H10:H15,"&lt;"&amp;B11)</f>
        <v/>
      </c>
      <c r="D11" s="24">
        <f>COUNTIF('Portfolio Scorer'!H10:H15,"&gt;="&amp;'Portfolio Scorer'!$C$6)</f>
        <v/>
      </c>
      <c r="E11" s="14">
        <f>COUNT('Portfolio Scorer'!H10:H15)-C11-D11</f>
        <v/>
      </c>
      <c r="F11" s="10">
        <f>SUMIF('Portfolio Scorer'!H10:H15,"&lt;"&amp;B11,'Portfolio Scorer'!C10:C15)</f>
        <v/>
      </c>
      <c r="G11" s="21">
        <f>SUMIF('Portfolio Scorer'!H10:H15,"&lt;"&amp;B11,'Portfolio Scorer'!C10:C15)-SUMIF('Portfolio Scorer'!H10:H15,"&lt;"&amp;B11,'Portfolio Scorer'!D10:D15)</f>
        <v/>
      </c>
    </row>
    <row r="13">
      <c r="B13" s="2" t="inlineStr">
        <is>
          <t>Watch the Sunset count climb as the threshold rises. The 1.00x row is the article default: 2 apps (D and E) fall below, $580K gross / $380K net recoverable.</t>
        </is>
      </c>
    </row>
    <row r="14">
      <c r="B14" s="2" t="inlineStr">
        <is>
          <t>If the recommendation set barely changes across the range, trust the call. If apps flip in and out at every step, the threshold is doing the deciding, so set it deliberately.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2026-10-23T16:19:18Z</dcterms:created>
  <dcterms:modified xmlns:dcterms="http://purl.org/dc/terms/" xmlns:xsi="http://www.w3.org/2001/XMLSchema-instance" xsi:type="dcterms:W3CDTF">2026-10-23T16:19:18Z</dcterms:modified>
</cp:coreProperties>
</file>